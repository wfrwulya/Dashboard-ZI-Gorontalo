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rogress ZI Satker" sheetId="2" state="visible" r:id="rId2"/>
    <sheet xmlns:r="http://schemas.openxmlformats.org/officeDocument/2006/relationships" name="Admin" sheetId="3" state="visible" r:id="rId3"/>
    <sheet xmlns:r="http://schemas.openxmlformats.org/officeDocument/2006/relationships" name="Data_Satker" sheetId="4" state="hidden" r:id="rId4"/>
    <sheet xmlns:r="http://schemas.openxmlformats.org/officeDocument/2006/relationships" name="Data_Poin" sheetId="5" state="hidden" r:id="rId5"/>
    <sheet xmlns:r="http://schemas.openxmlformats.org/officeDocument/2006/relationships" name="Lists" sheetId="6" state="hidden" r:id="rId6"/>
    <sheet xmlns:r="http://schemas.openxmlformats.org/officeDocument/2006/relationships" name="Data_Area" sheetId="7" state="hidden" r:id="rId7"/>
  </sheets>
  <definedNames>
    <definedName name="SatkerList">'Lists'!$A$2:$A$3</definedName>
    <definedName name="ComponentList">'Lists'!$B$2:$B$9</definedName>
    <definedName name="_xlnm.Print_Area" localSheetId="0">'Dashboard'!$A$1:$N$23</definedName>
    <definedName name="_xlnm.Print_Area" localSheetId="1">'Progress ZI Satker'!$A$1:$N$45</definedName>
    <definedName name="_xlnm._FilterDatabase" localSheetId="3" hidden="1">'Data_Satker'!$A$1:$N$3</definedName>
    <definedName name="_xlnm._FilterDatabase" localSheetId="4" hidden="1">'Data_Poin'!$A$1:$R$235</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dd-mmm-yyyy"/>
  </numFmts>
  <fonts count="13">
    <font>
      <name val="Calibri"/>
      <family val="2"/>
      <color theme="1"/>
      <sz val="11"/>
      <scheme val="minor"/>
    </font>
    <font>
      <b val="1"/>
      <color rgb="00FFFFFF"/>
    </font>
    <font>
      <name val="Calibri"/>
      <family val="2"/>
      <color theme="10"/>
      <sz val="12"/>
      <scheme val="minor"/>
    </font>
    <font>
      <b val="1"/>
      <color rgb="00FFFFFF"/>
      <sz val="18"/>
    </font>
    <font>
      <i val="1"/>
      <color rgb="00666666"/>
      <sz val="10"/>
    </font>
    <font>
      <b val="1"/>
      <color rgb="00FFFFFF"/>
      <sz val="16"/>
    </font>
    <font>
      <b val="1"/>
      <color rgb="0017365D"/>
      <sz val="13"/>
    </font>
    <font>
      <b val="1"/>
      <color rgb="0017365D"/>
      <sz val="12"/>
    </font>
    <font>
      <b val="1"/>
      <color rgb="0017365D"/>
    </font>
    <font>
      <i val="1"/>
      <color rgb="00666666"/>
    </font>
    <font>
      <b val="1"/>
      <color rgb="0017365D"/>
      <sz val="14"/>
    </font>
    <font>
      <b val="1"/>
    </font>
    <font>
      <b val="1"/>
      <color rgb="00C00000"/>
    </font>
  </fonts>
  <fills count="9">
    <fill>
      <patternFill/>
    </fill>
    <fill>
      <patternFill patternType="gray125"/>
    </fill>
    <fill>
      <patternFill patternType="solid">
        <fgColor rgb="0017365D"/>
      </patternFill>
    </fill>
    <fill>
      <patternFill patternType="solid">
        <fgColor rgb="002F75B5"/>
      </patternFill>
    </fill>
    <fill>
      <patternFill patternType="solid">
        <fgColor rgb="0070AD47"/>
      </patternFill>
    </fill>
    <fill>
      <patternFill patternType="solid">
        <fgColor rgb="00ED7D31"/>
      </patternFill>
    </fill>
    <fill>
      <patternFill patternType="solid">
        <fgColor rgb="00F2F2F2"/>
      </patternFill>
    </fill>
    <fill>
      <patternFill patternType="solid">
        <fgColor rgb="00D9EAF7"/>
      </patternFill>
    </fill>
    <fill>
      <patternFill patternType="solid">
        <fgColor rgb="00FCE4D6"/>
      </patternFill>
    </fill>
  </fills>
  <borders count="12">
    <border>
      <left/>
      <right/>
      <top/>
      <bottom/>
      <diagonal/>
    </border>
    <border>
      <left style="thin">
        <color rgb="00B7C9D6"/>
      </left>
      <right style="thin">
        <color rgb="00B7C9D6"/>
      </right>
      <top style="thin">
        <color rgb="00B7C9D6"/>
      </top>
      <bottom style="thin">
        <color rgb="00B7C9D6"/>
      </bottom>
    </border>
    <border>
      <left style="medium">
        <color rgb="0017365D"/>
      </left>
      <right style="medium">
        <color rgb="0017365D"/>
      </right>
      <top style="medium">
        <color rgb="0017365D"/>
      </top>
      <bottom style="medium">
        <color rgb="0017365D"/>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2">
    <xf numFmtId="0" fontId="0" fillId="0" borderId="0"/>
    <xf numFmtId="0" fontId="2" fillId="0" borderId="0"/>
  </cellStyleXfs>
  <cellXfs count="51">
    <xf numFmtId="0" fontId="0"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horizontal="center"/>
    </xf>
    <xf numFmtId="0" fontId="5" fillId="3" borderId="1" applyAlignment="1" pivotButton="0" quotePrefix="0" xfId="0">
      <alignment horizontal="center" vertical="center" wrapText="1"/>
    </xf>
    <xf numFmtId="0" fontId="0" fillId="3" borderId="1" pivotButton="0" quotePrefix="0" xfId="0"/>
    <xf numFmtId="0" fontId="5" fillId="4" borderId="1" applyAlignment="1" pivotButton="0" quotePrefix="0" xfId="0">
      <alignment horizontal="center" vertical="center" wrapText="1"/>
    </xf>
    <xf numFmtId="0" fontId="0" fillId="4" borderId="1" pivotButton="0" quotePrefix="0" xfId="0"/>
    <xf numFmtId="0" fontId="5" fillId="5" borderId="1" applyAlignment="1" pivotButton="0" quotePrefix="0" xfId="0">
      <alignment horizontal="center" vertical="center" wrapText="1"/>
    </xf>
    <xf numFmtId="0" fontId="0" fillId="5" borderId="1" pivotButton="0" quotePrefix="0" xfId="0"/>
    <xf numFmtId="0" fontId="6" fillId="0" borderId="0" pivotButton="0" quotePrefix="0" xfId="0"/>
    <xf numFmtId="0" fontId="1" fillId="2" borderId="1" applyAlignment="1" pivotButton="0" quotePrefix="0" xfId="0">
      <alignment horizontal="center"/>
    </xf>
    <xf numFmtId="0" fontId="0" fillId="0" borderId="1" applyAlignment="1" pivotButton="0" quotePrefix="0" xfId="0">
      <alignment vertical="center" wrapText="1"/>
    </xf>
    <xf numFmtId="164" fontId="0" fillId="0" borderId="1" applyAlignment="1" pivotButton="0" quotePrefix="0" xfId="0">
      <alignment vertical="center" wrapText="1"/>
    </xf>
    <xf numFmtId="164" fontId="0" fillId="0" borderId="0" pivotButton="0" quotePrefix="0" xfId="0"/>
    <xf numFmtId="0" fontId="7" fillId="0" borderId="0" pivotButton="0" quotePrefix="0" xfId="0"/>
    <xf numFmtId="0" fontId="0" fillId="0" borderId="1" pivotButton="0" quotePrefix="0" xfId="0"/>
    <xf numFmtId="0" fontId="0" fillId="0" borderId="1" applyAlignment="1" pivotButton="0" quotePrefix="0" xfId="0">
      <alignment horizontal="left"/>
    </xf>
    <xf numFmtId="0" fontId="0" fillId="6" borderId="1" applyAlignment="1" pivotButton="0" quotePrefix="0" xfId="0">
      <alignment vertical="center" wrapText="1"/>
    </xf>
    <xf numFmtId="0" fontId="3" fillId="2" borderId="0" applyAlignment="1" pivotButton="0" quotePrefix="0" xfId="0">
      <alignment horizontal="center" vertical="center"/>
    </xf>
    <xf numFmtId="0" fontId="8" fillId="0" borderId="0" pivotButton="0" quotePrefix="0" xfId="0"/>
    <xf numFmtId="0" fontId="0" fillId="7" borderId="2" pivotButton="0" quotePrefix="0" xfId="0"/>
    <xf numFmtId="0" fontId="9" fillId="0" borderId="0" pivotButton="0" quotePrefix="0" xfId="0"/>
    <xf numFmtId="0" fontId="1" fillId="3" borderId="1" applyAlignment="1" pivotButton="0" quotePrefix="0" xfId="0">
      <alignment horizontal="center"/>
    </xf>
    <xf numFmtId="2" fontId="10" fillId="6" borderId="1" applyAlignment="1" pivotButton="0" quotePrefix="0" xfId="0">
      <alignment horizontal="center"/>
    </xf>
    <xf numFmtId="0" fontId="10" fillId="6" borderId="1" applyAlignment="1" pivotButton="0" quotePrefix="0" xfId="0">
      <alignment horizontal="center"/>
    </xf>
    <xf numFmtId="0" fontId="1" fillId="2" borderId="1" pivotButton="0" quotePrefix="0" xfId="0"/>
    <xf numFmtId="0" fontId="1" fillId="2" borderId="1" applyAlignment="1" pivotButton="0" quotePrefix="0" xfId="0">
      <alignment horizontal="center" wrapText="1"/>
    </xf>
    <xf numFmtId="2" fontId="0" fillId="0" borderId="1" applyAlignment="1" pivotButton="0" quotePrefix="0" xfId="0">
      <alignment vertical="center" wrapText="1"/>
    </xf>
    <xf numFmtId="0" fontId="0" fillId="7" borderId="1"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12" fillId="0" borderId="0" pivotButton="0" quotePrefix="0" xfId="0"/>
    <xf numFmtId="0" fontId="0" fillId="8" borderId="1" applyAlignment="1" pivotButton="0" quotePrefix="0" xfId="0">
      <alignment vertical="center" wrapText="1"/>
    </xf>
    <xf numFmtId="2" fontId="0" fillId="0" borderId="1" pivotButton="0" quotePrefix="0" xfId="0"/>
    <xf numFmtId="164" fontId="0" fillId="0" borderId="1" pivotButton="0" quotePrefix="0" xfId="0"/>
    <xf numFmtId="165" fontId="0" fillId="0" borderId="1" pivotButton="0" quotePrefix="0" xfId="0"/>
    <xf numFmtId="0" fontId="2" fillId="0" borderId="0" pivotButton="0" quotePrefix="0" xfId="1"/>
    <xf numFmtId="0" fontId="11" fillId="0" borderId="0" pivotButton="0" quotePrefix="0" xfId="0"/>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164" fontId="0" fillId="0" borderId="1" applyAlignment="1" pivotButton="0" quotePrefix="0" xfId="0">
      <alignment vertical="center" wrapText="1"/>
    </xf>
    <xf numFmtId="164" fontId="0" fillId="0" borderId="0" pivotButton="0" quotePrefix="0" xfId="0"/>
    <xf numFmtId="0" fontId="0" fillId="0" borderId="10" pivotButton="0" quotePrefix="0" xfId="0"/>
    <xf numFmtId="0" fontId="0" fillId="0" borderId="11" pivotButton="0" quotePrefix="0" xfId="0"/>
    <xf numFmtId="164" fontId="0" fillId="0" borderId="1" pivotButton="0" quotePrefix="0" xfId="0"/>
    <xf numFmtId="165" fontId="0" fillId="0" borderId="1" pivotButton="0" quotePrefix="0" xfId="0"/>
  </cellXfs>
  <cellStyles count="2">
    <cellStyle name="Normal" xfId="0" builtinId="0" hidden="0"/>
    <cellStyle name="Hyperlink" xfId="1" builtinId="8"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Persentase Tindak Lanjut per Satker</a:t>
            </a:r>
          </a:p>
        </rich>
      </tx>
    </title>
    <plotArea>
      <barChart>
        <barDir val="bar"/>
        <grouping val="clustered"/>
        <ser>
          <idx val="0"/>
          <order val="0"/>
          <tx>
            <strRef>
              <f>'Dashboard'!B27</f>
            </strRef>
          </tx>
          <spPr>
            <a:ln xmlns:a="http://schemas.openxmlformats.org/drawingml/2006/main">
              <a:prstDash val="solid"/>
            </a:ln>
          </spPr>
          <cat>
            <numRef>
              <f>'Dashboard'!$A$28:$A$29</f>
            </numRef>
          </cat>
          <val>
            <numRef>
              <f>'Dashboard'!$B$28:$B$29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Tindak Lanjut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Satker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TL % per Komponen Pengungkit</a:t>
            </a:r>
          </a:p>
        </rich>
      </tx>
    </title>
    <plotArea>
      <barChart>
        <barDir val="bar"/>
        <grouping val="clustered"/>
        <ser>
          <idx val="0"/>
          <order val="0"/>
          <tx>
            <strRef>
              <f>'Progress ZI Satker'!N11</f>
            </strRef>
          </tx>
          <spPr>
            <a:ln xmlns:a="http://schemas.openxmlformats.org/drawingml/2006/main">
              <a:prstDash val="solid"/>
            </a:ln>
          </spPr>
          <cat>
            <numRef>
              <f>'Progress ZI Satker'!$H$12:$H$17</f>
            </numRef>
          </cat>
          <val>
            <numRef>
              <f>'Progress ZI Satker'!$N$12:$N$17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21</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hyperlink" Target="https://drive.google.com/drive/folders/1RhMfo0BLlXs55gHJix-hLiYdLfTqX-qX" TargetMode="External" Id="rId1"/><Relationship Type="http://schemas.openxmlformats.org/officeDocument/2006/relationships/hyperlink" Target="https://drive.google.com/drive/folders/1vLl4DAtUEjNdlleP4v7WHm8A3Fcczt2R?usp=sharing" TargetMode="External" Id="rId2"/><Relationship Type="http://schemas.openxmlformats.org/officeDocument/2006/relationships/hyperlink" Target="https://drive.google.com/drive/folders/112yvNGRWmWgBVyV7YMlp3-W9jXnuzx4Z" TargetMode="External" Id="rId3"/><Relationship Type="http://schemas.openxmlformats.org/officeDocument/2006/relationships/hyperlink" Target="https://drive.google.com/drive/folders/1Soofqpin-xpZFCfl3sVumnauZJNg8K1X" TargetMode="External" Id="rId4"/><Relationship Type="http://schemas.openxmlformats.org/officeDocument/2006/relationships/hyperlink" Target="https://drive.google.com/drive/folders/1BCOZnAXsj_NaFRGr2FFxMD3VAUOW3K3M" TargetMode="External" Id="rId5"/><Relationship Type="http://schemas.openxmlformats.org/officeDocument/2006/relationships/hyperlink" Target="https://drive.google.com/drive/folders/1NxoVHvgD_pluHTC7VDnT8t07k5BFQ-QG" TargetMode="External" Id="rId6"/><Relationship Type="http://schemas.openxmlformats.org/officeDocument/2006/relationships/hyperlink" Target="https://drive.google.com/drive/folders/1OFRWjSjBrjFscq9vQsK9LfQPLT8OhaWw" TargetMode="External" Id="rId7"/><Relationship Type="http://schemas.openxmlformats.org/officeDocument/2006/relationships/hyperlink" Target="https://drive.google.com/drive/folders/1xCQGEfrGQrmFCHENH9lpC1sXQsAGAXsy" TargetMode="External" Id="rId8"/><Relationship Type="http://schemas.openxmlformats.org/officeDocument/2006/relationships/hyperlink" Target="https://drive.google.com/drive/folders/1-0EFVL2GitmA9pwmd0hamZuBGi38l7U4" TargetMode="External" Id="rId9"/><Relationship Type="http://schemas.openxmlformats.org/officeDocument/2006/relationships/hyperlink" Target="https://drive.google.com/drive/folders/15ZSHAYgymJxsTX6KaCzfjw4QtgcAznf8?usp=sharing" TargetMode="External" Id="rId10"/><Relationship Type="http://schemas.openxmlformats.org/officeDocument/2006/relationships/hyperlink" Target="https://drive.google.com/drive/folders/1dNOTekTSjFGqhzBGSHzUW9PgnPj9y8tE" TargetMode="External" Id="rId11"/><Relationship Type="http://schemas.openxmlformats.org/officeDocument/2006/relationships/hyperlink" Target="https://drive.google.com/drive/folders/1QP7oS6rInecNcyr9VvyJLRR1IdMbhF_7?usp=sharing" TargetMode="External" Id="rId12"/><Relationship Type="http://schemas.openxmlformats.org/officeDocument/2006/relationships/hyperlink" Target="https://drive.google.com/drive/folders/16kQZal62HcQzELSoOJqwDsmm0h2TWTcY" TargetMode="External" Id="rId13"/><Relationship Type="http://schemas.openxmlformats.org/officeDocument/2006/relationships/hyperlink" Target="https://drive.google.com/drive/folders/1wB5GZagympLlTZlueZTK7clhylQ2xPjU" TargetMode="External" Id="rId14"/><Relationship Type="http://schemas.openxmlformats.org/officeDocument/2006/relationships/hyperlink" Target="https://drive.google.com/drive/folders/1vzz6pWXA_FmvN8QwSnT--0P3JXo_7kOZ" TargetMode="External" Id="rId15"/><Relationship Type="http://schemas.openxmlformats.org/officeDocument/2006/relationships/hyperlink" Target="ii. a. Sistem pengukuran kinerja unit sudah menggunakan teknologi informasi" TargetMode="External" Id="rId16"/><Relationship Type="http://schemas.openxmlformats.org/officeDocument/2006/relationships/hyperlink" Target="https://drive.google.com/drive/folders/1JQedP6XgrafY4FoBKZDxRHtRLbgaJZos" TargetMode="External" Id="rId17"/><Relationship Type="http://schemas.openxmlformats.org/officeDocument/2006/relationships/hyperlink" Target="https://drive.google.com/drive/folders/1BjHaPYl96KzGy56lGuobDR6fqro8Do3b" TargetMode="External" Id="rId18"/><Relationship Type="http://schemas.openxmlformats.org/officeDocument/2006/relationships/hyperlink" Target="https://drive.google.com/drive/folders/1Lhp_xEug90r9-jLogqp0OPVRZbAbyGZh" TargetMode="External" Id="rId19"/><Relationship Type="http://schemas.openxmlformats.org/officeDocument/2006/relationships/hyperlink" Target="https://drive.google.com/drive/folders/1UkBXMqN-hVghI3KocSpsOUQus192fa3P" TargetMode="External" Id="rId20"/><Relationship Type="http://schemas.openxmlformats.org/officeDocument/2006/relationships/hyperlink" Target="https://drive.google.com/drive/folders/1HzJbYuqijjIhOi9m1Ihs0FjbDOIvomdh" TargetMode="External" Id="rId21"/><Relationship Type="http://schemas.openxmlformats.org/officeDocument/2006/relationships/hyperlink" Target="https://drive.google.com/drive/folders/1M7Vcj_XMMihfkYHp4AggE-4tXLWHBPTN" TargetMode="External" Id="rId22"/><Relationship Type="http://schemas.openxmlformats.org/officeDocument/2006/relationships/hyperlink" Target="https://drive.google.com/drive/folders/1yRvNfcfdY3ilxGGdhpsJWiZ2uiMQ6YAN" TargetMode="External" Id="rId23"/><Relationship Type="http://schemas.openxmlformats.org/officeDocument/2006/relationships/hyperlink" Target="https://drive.google.com/drive/folders/1wbQo-FCMpiZZj1hQn_RSGPDPEphjWY-c" TargetMode="External" Id="rId24"/><Relationship Type="http://schemas.openxmlformats.org/officeDocument/2006/relationships/hyperlink" Target="https://drive.google.com/drive/folders/12S57yYiU_46m7FIJ-rp9KjZnnetQGekd?usp=drive_link" TargetMode="External" Id="rId25"/><Relationship Type="http://schemas.openxmlformats.org/officeDocument/2006/relationships/hyperlink" Target="https://drive.google.com/drive/folders/13Zh-ErS4w6uLlTdgAujOzej3ByZ_4e40?usp=drive_link" TargetMode="External" Id="rId26"/><Relationship Type="http://schemas.openxmlformats.org/officeDocument/2006/relationships/hyperlink" Target="https://drive.google.com/drive/folders/1-jDJI5Sss7nNt4vSAV5ve6JhsRsRQDrE?usp=drive_link" TargetMode="External" Id="rId27"/><Relationship Type="http://schemas.openxmlformats.org/officeDocument/2006/relationships/hyperlink" Target="https://drive.google.com/drive/folders/15K8iSKatdTcyGoXS3bHChSZwF7mw35V6?usp=drive_link" TargetMode="External" Id="rId28"/><Relationship Type="http://schemas.openxmlformats.org/officeDocument/2006/relationships/hyperlink" Target="https://drive.google.com/drive/folders/1czYmT5IeVlSC0hImb-2VeK-KqwBSM8Uf?usp=drive_link" TargetMode="External" Id="rId29"/><Relationship Type="http://schemas.openxmlformats.org/officeDocument/2006/relationships/hyperlink" Target="https://drive.google.com/drive/folders/1o9iet0ki69ypbVB1HKW9GUEf5x7ikiUV?usp=drive_link" TargetMode="External" Id="rId30"/><Relationship Type="http://schemas.openxmlformats.org/officeDocument/2006/relationships/hyperlink" Target="https://drive.google.com/drive/folders/1iYe7oNDndgeCOdlMqakrFGsNOuC3tVxh?usp=drive_link" TargetMode="External" Id="rId31"/><Relationship Type="http://schemas.openxmlformats.org/officeDocument/2006/relationships/hyperlink" Target="https://drive.google.com/drive/folders/1LHBQENr_QcqVWpAvGPh60Gawr8q8bOqQ?usp=drive_link" TargetMode="External" Id="rId32"/><Relationship Type="http://schemas.openxmlformats.org/officeDocument/2006/relationships/hyperlink" Target="https://drive.google.com/drive/folders/1W2kgyF01kTKvqDeVK4e1DI0DISi1PY5G?usp=drive_link" TargetMode="External" Id="rId33"/><Relationship Type="http://schemas.openxmlformats.org/officeDocument/2006/relationships/hyperlink" Target="https://drive.google.com/drive/folders/1sXzNhzVQbUzsb-uSJjLepGbu5jxdrUM1?usp=drive_link" TargetMode="External" Id="rId34"/><Relationship Type="http://schemas.openxmlformats.org/officeDocument/2006/relationships/hyperlink" Target="https://drive.google.com/drive/folders/1nTCXjO9wghh3b_uMN8g-8lSX7lY4KtiJ?usp=drive_link" TargetMode="External" Id="rId35"/><Relationship Type="http://schemas.openxmlformats.org/officeDocument/2006/relationships/hyperlink" Target="https://drive.google.com/drive/folders/16Kx_zfFJGeyPSHfnP04zHmOWgcQkpKwo?usp=drive_link" TargetMode="External" Id="rId36"/><Relationship Type="http://schemas.openxmlformats.org/officeDocument/2006/relationships/hyperlink" Target="https://drive.google.com/drive/folders/1a2CwaWBVZ6a7L8v430NuV3KMa8YhuqTy" TargetMode="External" Id="rId37"/><Relationship Type="http://schemas.openxmlformats.org/officeDocument/2006/relationships/hyperlink" Target="https://drive.google.com/drive/folders/1USj1_2RDhFamb9CWvZXw5DzlS0yEAwQs" TargetMode="External" Id="rId38"/><Relationship Type="http://schemas.openxmlformats.org/officeDocument/2006/relationships/hyperlink" Target="https://drive.google.com/drive/folders/140GzSbvEqG043pnNNpl5WcIvePJkXfLj?usp=share_link                                                                                                                " TargetMode="External" Id="rId39"/><Relationship Type="http://schemas.openxmlformats.org/officeDocument/2006/relationships/hyperlink" Target=" https://drive.google.com/drive/folders/1R8MUmc3hnEnjigYVmL04CLY2ahJv2J8B?usp=share_link                                                                                                             " TargetMode="External" Id="rId40"/><Relationship Type="http://schemas.openxmlformats.org/officeDocument/2006/relationships/hyperlink" Target="https://drive.google.com/drive/folders/1wvNsQAMI3zz4xvCJncCpm3rhgTqjFTse?usp=share_link                                                                                                                                    " TargetMode="External" Id="rId41"/><Relationship Type="http://schemas.openxmlformats.org/officeDocument/2006/relationships/hyperlink" Target="https://drive.google.com/drive/folders/1XODqVKQnhp0RnjKpH2JrJDwjLmqGd2gQ?usp=share_link                                                                                                             " TargetMode="External" Id="rId42"/><Relationship Type="http://schemas.openxmlformats.org/officeDocument/2006/relationships/hyperlink" Target="https://drive.google.com/drive/folders/1GIlQWB3yb2-_fE8N21GVjOb2ZqSrf8fB?usp=share_link            " TargetMode="External" Id="rId43"/><Relationship Type="http://schemas.openxmlformats.org/officeDocument/2006/relationships/hyperlink" Target="2025:&#10;https://drive.google.com/drive/u/2/folders/1VHI7v92VEeolexo8Auy4pBSd1UzznS_C&#10;&#10;" TargetMode="External" Id="rId44"/><Relationship Type="http://schemas.openxmlformats.org/officeDocument/2006/relationships/hyperlink" Target="2025:&#10;https://drive.google.com/drive/u/2/folders/1ozmWO3ZTRNUd0leXP__Y2CdoEvkT8y73" TargetMode="External" Id="rId45"/><Relationship Type="http://schemas.openxmlformats.org/officeDocument/2006/relationships/hyperlink" Target="https://drive.google.com/drive/folders/1kRvkIflLC1OazADxLp1w8xS4Trsmbyc9" TargetMode="External" Id="rId46"/><Relationship Type="http://schemas.openxmlformats.org/officeDocument/2006/relationships/hyperlink" Target="2025:&#10;https://drive.google.com/drive/u/2/folders/10_1KVzyam7q1qLzmKT0HSFlHaY5fVlB7   " TargetMode="External" Id="rId47"/><Relationship Type="http://schemas.openxmlformats.org/officeDocument/2006/relationships/hyperlink" Target="2025:&#10;https://drive.google.com/drive/u/2/folders/1ga1tV-I52nm851GFWxwnKfht1bOoXD0p" TargetMode="External" Id="rId48"/><Relationship Type="http://schemas.openxmlformats.org/officeDocument/2006/relationships/hyperlink" Target="https://drive.google.com/drive/folders/1pb8s2ibKwlfaPFROahkvBAAfUuQGXlOq?usp=share_link" TargetMode="External" Id="rId49"/><Relationship Type="http://schemas.openxmlformats.org/officeDocument/2006/relationships/hyperlink" Target="https://drive.google.com/drive/folders/1sHpZMAS3AAujPORuGFACuYOTbl0Rujov?usp=drive_link" TargetMode="External" Id="rId50"/><Relationship Type="http://schemas.openxmlformats.org/officeDocument/2006/relationships/hyperlink" Target="https://drive.google.com/drive/folders/1V17sdf7ewKjsUWognuCFqXkANrNfksQB?usp=drive_link" TargetMode="External" Id="rId51"/><Relationship Type="http://schemas.openxmlformats.org/officeDocument/2006/relationships/hyperlink" Target="https://drive.google.com/drive/folders/1RUTZP7TMfe_hMhvBWGlyTLeBdVZ8Fm2-?usp=drive_link" TargetMode="External" Id="rId52"/><Relationship Type="http://schemas.openxmlformats.org/officeDocument/2006/relationships/hyperlink" Target="https://drive.google.com/drive/folders/1VgsPcxM3BhYB2lSOnzW9xokoc0UxLxqR?usp=drive_link" TargetMode="External" Id="rId53"/><Relationship Type="http://schemas.openxmlformats.org/officeDocument/2006/relationships/hyperlink" Target="https://drive.google.com/drive/folders/1c5HMJhrbI-i7ZMN3CtsTZoK_hpo4xr_c?usp=drive_link" TargetMode="External" Id="rId54"/><Relationship Type="http://schemas.openxmlformats.org/officeDocument/2006/relationships/hyperlink" Target="https://drive.google.com/drive/folders/1SHfpMUs7VFBI0JooMHhpLMGzyNpck5_j?usp=drive_link" TargetMode="External" Id="rId55"/><Relationship Type="http://schemas.openxmlformats.org/officeDocument/2006/relationships/hyperlink" Target="https://drive.google.com/drive/folders/1tN0p4irbuw_o5J0hvRcxvQ-bGEOri3k1?usp=drive_link" TargetMode="External" Id="rId56"/><Relationship Type="http://schemas.openxmlformats.org/officeDocument/2006/relationships/hyperlink" Target="https://drive.google.com/drive/folders/1y-H7oR9o5_JEEDU-8_F5NXfCl45olcFB?usp=drive_link" TargetMode="External" Id="rId57"/><Relationship Type="http://schemas.openxmlformats.org/officeDocument/2006/relationships/hyperlink" Target="https://drive.google.com/drive/folders/1kBoi4f2hqbsxzlVunpNUBgXUhbT1hXJW?usp=drive_link" TargetMode="External" Id="rId58"/><Relationship Type="http://schemas.openxmlformats.org/officeDocument/2006/relationships/hyperlink" Target="https://drive.google.com/drive/folders/1G1cyh4rswpGeeXTVBeZD-1oQMJkHN2LQ?usp=drive_link" TargetMode="External" Id="rId59"/><Relationship Type="http://schemas.openxmlformats.org/officeDocument/2006/relationships/hyperlink" Target="https://drive.google.com/drive/folders/19wADfIDJtLaVLB_9JiyjOVz3bP064Y8q?usp=drive_link" TargetMode="External" Id="rId60"/><Relationship Type="http://schemas.openxmlformats.org/officeDocument/2006/relationships/hyperlink" Target="https://drive.google.com/drive/folders/1TryDP8iFeSTEQo9pOu1mnwUnjkugQlZr?usp=drive_link" TargetMode="External" Id="rId61"/><Relationship Type="http://schemas.openxmlformats.org/officeDocument/2006/relationships/hyperlink" Target="https://drive.google.com/drive/folders/1VZZwghHGFYsdSqUoZACwDxaZ0M5EkBZ3?usp=drive_link" TargetMode="External" Id="rId62"/><Relationship Type="http://schemas.openxmlformats.org/officeDocument/2006/relationships/hyperlink" Target="https://drive.google.com/drive/folders/1RyPGuAL-QsEQ6HJRI2tBLUIjfTsjR4Xs?usp=drive_link" TargetMode="External" Id="rId63"/><Relationship Type="http://schemas.openxmlformats.org/officeDocument/2006/relationships/hyperlink" Target="https://drive.google.com/drive/folders/1C26qvnFwxWx2I-una85a35fkxCzLULyl?usp=drive_link" TargetMode="External" Id="rId64"/><Relationship Type="http://schemas.openxmlformats.org/officeDocument/2006/relationships/hyperlink" Target="https://drive.google.com/drive/folders/1aGCzctgbrfICbFywjXu_6PUqI0aghcsV?usp=drive_link" TargetMode="External" Id="rId65"/><Relationship Type="http://schemas.openxmlformats.org/officeDocument/2006/relationships/hyperlink" Target="https://drive.google.com/drive/folders/1_T6wS_1E2oDN-q22H5iYp6RMUWvo1U7S?usp=drive_link" TargetMode="External" Id="rId66"/><Relationship Type="http://schemas.openxmlformats.org/officeDocument/2006/relationships/hyperlink" Target="https://drive.google.com/drive/folders/1JCoOob1CEesweI5Pg6-3tedaFWfMQVZL?usp=drive_link" TargetMode="External" Id="rId67"/><Relationship Type="http://schemas.openxmlformats.org/officeDocument/2006/relationships/hyperlink" Target="https://drive.google.com/drive/folders/14KDBfTYEHKpsL8qETfxtKEDoNe3_zIYi" TargetMode="External" Id="rId68"/><Relationship Type="http://schemas.openxmlformats.org/officeDocument/2006/relationships/hyperlink" Target="https://drive.google.com/drive/folders/1vlU_YF9SW1Yfbg-90GyjM7q63ncVsYPW" TargetMode="External" Id="rId69"/><Relationship Type="http://schemas.openxmlformats.org/officeDocument/2006/relationships/hyperlink" Target="https://drive.google.com/drive/folders/1dDJ46ZfCiYDdQvDpuiW8Irn-ncOSSPN_" TargetMode="External" Id="rId70"/><Relationship Type="http://schemas.openxmlformats.org/officeDocument/2006/relationships/hyperlink" Target="https://drive.google.com/drive/folders/1GSgtaY5IfFCL5kdU9tCY7BbyCb_3W1at" TargetMode="External" Id="rId71"/><Relationship Type="http://schemas.openxmlformats.org/officeDocument/2006/relationships/hyperlink" Target="https://drive.google.com/drive/folders/1_fAvZgICJb_SMkVVyiS3-G-3CyB8Owbo" TargetMode="External" Id="rId72"/><Relationship Type="http://schemas.openxmlformats.org/officeDocument/2006/relationships/hyperlink" Target="https://drive.google.com/drive/folders/1SxqgJgVMScR_yrncO_Lp6vgk2ImBVh5v" TargetMode="External" Id="rId73"/><Relationship Type="http://schemas.openxmlformats.org/officeDocument/2006/relationships/hyperlink" Target="https://drive.google.com/drive/folders/1Yu52XL7vvaXXR1b8r5XHKhveP4HApi1y" TargetMode="External" Id="rId74"/><Relationship Type="http://schemas.openxmlformats.org/officeDocument/2006/relationships/hyperlink" Target="https://drive.google.com/drive/folders/16KTDxKrkQ_Tetow92z6Cisk-5mnhFiBp" TargetMode="External" Id="rId75"/><Relationship Type="http://schemas.openxmlformats.org/officeDocument/2006/relationships/hyperlink" Target="https://drive.google.com/drive/folders/1jY2_R0IiJJL_7Nlpd7N-duHzStsTSUHo" TargetMode="External" Id="rId76"/><Relationship Type="http://schemas.openxmlformats.org/officeDocument/2006/relationships/hyperlink" Target="https://drive.google.com/drive/folders/1G5UM3Lp8P2tRKC0-MdPLTv0NSm5WBLaM" TargetMode="External" Id="rId77"/><Relationship Type="http://schemas.openxmlformats.org/officeDocument/2006/relationships/hyperlink" Target="https://drive.google.com/drive/folders/14gVQZrmuZBaBmeRGxxtQKkNCdOPh7fvD" TargetMode="External" Id="rId78"/><Relationship Type="http://schemas.openxmlformats.org/officeDocument/2006/relationships/hyperlink" Target="https://drive.google.com/drive/folders/1xpOJuiHxL5WwLvniEDMh4rExLyY5wU_Z" TargetMode="External" Id="rId79"/><Relationship Type="http://schemas.openxmlformats.org/officeDocument/2006/relationships/hyperlink" Target="https://drive.google.com/drive/folders/17SCnc95mW9aHA4VLW9JbSNmafld5peUe" TargetMode="External" Id="rId80"/><Relationship Type="http://schemas.openxmlformats.org/officeDocument/2006/relationships/hyperlink" Target="https://drive.google.com/drive/folders/19oIXkoV49m4t79Lar9zS-pOF_IGLntcS" TargetMode="External" Id="rId81"/><Relationship Type="http://schemas.openxmlformats.org/officeDocument/2006/relationships/hyperlink" Target="https://drive.google.com/drive/folders/19Z2VEIKZBEhGYIcNvziZwdnmfvxml1Pl" TargetMode="External" Id="rId82"/><Relationship Type="http://schemas.openxmlformats.org/officeDocument/2006/relationships/hyperlink" Target="https://drive.google.com/drive/folders/1x77fgsetHTAH48envHLyOQmZCJjjB0zk" TargetMode="External" Id="rId83"/><Relationship Type="http://schemas.openxmlformats.org/officeDocument/2006/relationships/hyperlink" Target="https://drive.google.com/drive/folders/1RbgPDdzyM9iLNkdmn5mIDfYAWL2YfUfy" TargetMode="External" Id="rId84"/><Relationship Type="http://schemas.openxmlformats.org/officeDocument/2006/relationships/hyperlink" Target="https://drive.google.com/drive/folders/1RbgPDdzyM9iLNkdmn5mIDfYAWL2YfUfy" TargetMode="External" Id="rId85"/><Relationship Type="http://schemas.openxmlformats.org/officeDocument/2006/relationships/hyperlink" Target="https://drive.google.com/drive/folders/1RbgPDdzyM9iLNkdmn5mIDfYAWL2YfUfy" TargetMode="External" Id="rId86"/><Relationship Type="http://schemas.openxmlformats.org/officeDocument/2006/relationships/hyperlink" Target="https://drive.google.com/drive/folders/1rWy6No1jMInRbtZV1exdkEyl-NrMaS7D?usp=sharing" TargetMode="External" Id="rId87"/><Relationship Type="http://schemas.openxmlformats.org/officeDocument/2006/relationships/hyperlink" Target="https://drive.google.com/drive/folders/1cOOpuF1PTZkJRoDhQZTrHR6xPnYUHmBI?usp=sharing" TargetMode="External" Id="rId88"/><Relationship Type="http://schemas.openxmlformats.org/officeDocument/2006/relationships/hyperlink" Target="https://drive.google.com/drive/folders/1LFwcKUtCSNwultOVovyVE-dvVKR8jWbv?usp=drive_link" TargetMode="External" Id="rId89"/><Relationship Type="http://schemas.openxmlformats.org/officeDocument/2006/relationships/hyperlink" Target="https://drive.google.com/drive/folders/1U-DRXAeXjrhWnIrUVvl7HWEL4riqaVm7?usp=sharing" TargetMode="External" Id="rId90"/><Relationship Type="http://schemas.openxmlformats.org/officeDocument/2006/relationships/hyperlink" Target="https://drive.google.com/drive/folders/1IsxuzzutVUALN6Grzr4OMdfWpLpeMhtU?usp=sharing" TargetMode="External" Id="rId91"/><Relationship Type="http://schemas.openxmlformats.org/officeDocument/2006/relationships/hyperlink" Target="https://drive.google.com/drive/folders/1IsxuzzutVUALN6Grzr4OMdfWpLpeMhtU?usp=sharing" TargetMode="External" Id="rId92"/><Relationship Type="http://schemas.openxmlformats.org/officeDocument/2006/relationships/hyperlink" Target="https://drive.google.com/drive/folders/1yBf3RHj5uvSgNj9N44-prpe7XHTFA92J?usp=drive_link" TargetMode="External" Id="rId93"/><Relationship Type="http://schemas.openxmlformats.org/officeDocument/2006/relationships/hyperlink" Target="https://drive.google.com/drive/folders/1IsxuzzutVUALN6Grzr4OMdfWpLpeMhtU?usp=drive_link" TargetMode="External" Id="rId94"/><Relationship Type="http://schemas.openxmlformats.org/officeDocument/2006/relationships/hyperlink" Target="https://drive.google.com/drive/folders/1IsxuzzutVUALN6Grzr4OMdfWpLpeMhtU?usp=drive_link" TargetMode="External" Id="rId95"/><Relationship Type="http://schemas.openxmlformats.org/officeDocument/2006/relationships/hyperlink" Target="https://drive.google.com/drive/folders/1IsxuzzutVUALN6Grzr4OMdfWpLpeMhtU?usp=drive_link" TargetMode="External" Id="rId96"/><Relationship Type="http://schemas.openxmlformats.org/officeDocument/2006/relationships/hyperlink" Target="https://drive.google.com/drive/u/2/folders/1xfrN1KkXbhouXdSP6pP_sXFPqtLe9C08" TargetMode="External" Id="rId97"/><Relationship Type="http://schemas.openxmlformats.org/officeDocument/2006/relationships/hyperlink" Target="http://drive.google.com/drive/u/2/folders/1ZokldWm30zpeAQ5i4hwD3xpbXTcUNM5n" TargetMode="External" Id="rId98"/><Relationship Type="http://schemas.openxmlformats.org/officeDocument/2006/relationships/hyperlink" Target="https://drive.google.com/drive/u/2/folders/1KNa3cCmA5Upg2mlfXaiYaaL4mYD26j9p" TargetMode="External" Id="rId99"/><Relationship Type="http://schemas.openxmlformats.org/officeDocument/2006/relationships/hyperlink" Target="https://drive.google.com/drive/folders/1TpnuNQL0WELkbSYUipdPXLPNWAzGhsvu?usp=share_link" TargetMode="External" Id="rId100"/><Relationship Type="http://schemas.openxmlformats.org/officeDocument/2006/relationships/hyperlink" Target="https://drive.google.com/drive/folders/1tZGxopAqotnUvCEiPXsbKa-kayQV-K0W?usp=share_link" TargetMode="External" Id="rId101"/><Relationship Type="http://schemas.openxmlformats.org/officeDocument/2006/relationships/hyperlink" Target="https://drive.google.com/drive/folders/1EWWk8GgzV2NNbTF_FwY_kLddWjE_OBHl?usp=share_link" TargetMode="External" Id="rId102"/><Relationship Type="http://schemas.openxmlformats.org/officeDocument/2006/relationships/hyperlink" Target="https://drive.google.com/drive/u/2/folders/1EO47arIFRvVQhtL_SjfyOpn_EQIa8Bdw" TargetMode="External" Id="rId103"/><Relationship Type="http://schemas.openxmlformats.org/officeDocument/2006/relationships/hyperlink" Target="https://drive.google.com/drive/u/2/folders/1EO47arIFRvVQhtL_SjfyOpn_EQIa8Bdw" TargetMode="External" Id="rId104"/><Relationship Type="http://schemas.openxmlformats.org/officeDocument/2006/relationships/hyperlink" Target="https://drive.google.com/drive/folders/1nF_sakRuFeezdLxTDaSD_1mMHJHnUYQ8" TargetMode="External" Id="rId105"/><Relationship Type="http://schemas.openxmlformats.org/officeDocument/2006/relationships/hyperlink" Target="https://drive.google.com/drive/folders/1-ynXn6y3fRaRGxWNodEmeoOUuhx6ULHw" TargetMode="External" Id="rId106"/><Relationship Type="http://schemas.openxmlformats.org/officeDocument/2006/relationships/hyperlink" Target="https://drive.google.com/drive/folders/1TEA3KIOrFBQoIwzdpTeB-3G31NOwaCQP" TargetMode="External" Id="rId107"/><Relationship Type="http://schemas.openxmlformats.org/officeDocument/2006/relationships/hyperlink" Target=" telah membentuk tim untuk melakukan pembangunan Zona Integritas" TargetMode="External" Id="rId108"/><Relationship Type="http://schemas.openxmlformats.org/officeDocument/2006/relationships/hyperlink" Target="https://drive.google.com/drive/folders/16N-m8ndADyn38GuYWTPpF8BqHqDUpjiX?usp=drive_link" TargetMode="External" Id="rId109"/><Relationship Type="http://schemas.openxmlformats.org/officeDocument/2006/relationships/hyperlink" Target="2A" TargetMode="External" Id="rId110"/><Relationship Type="http://schemas.openxmlformats.org/officeDocument/2006/relationships/hyperlink" Target="https://drive.google.com/drive/folders/17s5PQbe7S0gIFOS9QedA2yWLAE8Yuiey?usp=drive_link" TargetMode="External" Id="rId111"/><Relationship Type="http://schemas.openxmlformats.org/officeDocument/2006/relationships/hyperlink" Target="https://drive.google.com/drive/folders/1-vITGsIShT4tzGs9Qy-6fSyyl6wUVAzL?usp=drive_link" TargetMode="External" Id="rId112"/><Relationship Type="http://schemas.openxmlformats.org/officeDocument/2006/relationships/hyperlink" Target="3A" TargetMode="External" Id="rId113"/><Relationship Type="http://schemas.openxmlformats.org/officeDocument/2006/relationships/hyperlink" Target="https://drive.google.com/drive/folders/1oWb5cRs3M3qXaYE1IF-_jhIeEAJ6CWun?usp=drive_link" TargetMode="External" Id="rId114"/><Relationship Type="http://schemas.openxmlformats.org/officeDocument/2006/relationships/hyperlink" Target="https://drive.google.com/drive/folders/1ea1Ym5XNyd_VHJUrAFLQfoYfY2HNliFZ?usp=drive_link" TargetMode="External" Id="rId115"/><Relationship Type="http://schemas.openxmlformats.org/officeDocument/2006/relationships/hyperlink" Target="https://drive.google.com/drive/folders/1DCFtiAxz7x6pcK71s0AycXULAFaK0cgm?usp=drive_link" TargetMode="External" Id="rId116"/><Relationship Type="http://schemas.openxmlformats.org/officeDocument/2006/relationships/hyperlink" Target="https://drive.google.com/drive/folders/1p2pRAipsIcgfW_exu51qlApZ1h5e93H3?usp=drive_link" TargetMode="External" Id="rId117"/><Relationship Type="http://schemas.openxmlformats.org/officeDocument/2006/relationships/hyperlink" Target="https://drive.google.com/drive/folders/1ZUV3xhJZBDMsUwKFGBYN4o3bXY6OoZ6z?usp=drive_link" TargetMode="External" Id="rId118"/><Relationship Type="http://schemas.openxmlformats.org/officeDocument/2006/relationships/hyperlink" Target="https://drive.google.com/drive/folders/1ayMwDNLmcemGTjzT2IrOsO7QAVQpxIHx?usp=drive_link" TargetMode="External" Id="rId119"/><Relationship Type="http://schemas.openxmlformats.org/officeDocument/2006/relationships/hyperlink" Target="https://drive.google.com/drive/folders/12YtW_-cZP3nWRd2tQzlTnF5ZR6fyWZ2G?usp=drive_link" TargetMode="External" Id="rId120"/><Relationship Type="http://schemas.openxmlformats.org/officeDocument/2006/relationships/hyperlink" Target="https://drive.google.com/drive/folders/1bZ05k9CkNfevpwSfuD1u2epTIdKSNx_h?usp=drive_link" TargetMode="External" Id="rId121"/><Relationship Type="http://schemas.openxmlformats.org/officeDocument/2006/relationships/hyperlink" Target="https://drive.google.com/drive/folders/1-M8v-DPrQ2sLA-aTVc3tjmDnf4LMYzZZ?usp=drive_link" TargetMode="External" Id="rId122"/><Relationship Type="http://schemas.openxmlformats.org/officeDocument/2006/relationships/hyperlink" Target="https://drive.google.com/drive/folders/19YaOg9iaTRa3qNsZ7OSMQYOBHtWv0HBZ?usp=drive_link" TargetMode="External" Id="rId123"/><Relationship Type="http://schemas.openxmlformats.org/officeDocument/2006/relationships/hyperlink" Target="https://drive.google.com/drive/folders/1bj0jrPl3M_rhvkr0F9XPXGd2yLAB_A11?usp=drive_link" TargetMode="External" Id="rId124"/><Relationship Type="http://schemas.openxmlformats.org/officeDocument/2006/relationships/hyperlink" Target="https://drive.google.com/drive/folders/1Fq8lID3SCXYNrWJwFPs2kt-hCabDxm0F?usp=drive_link" TargetMode="External" Id="rId125"/><Relationship Type="http://schemas.openxmlformats.org/officeDocument/2006/relationships/hyperlink" Target="https://drive.google.com/drive/folders/1j3qEXWtZltpPupBFRWza92rvhgJqq7qZ?usp=drive_link" TargetMode="External" Id="rId126"/><Relationship Type="http://schemas.openxmlformats.org/officeDocument/2006/relationships/hyperlink" Target="https://drive.google.com/drive/folders/1t9081nP9d6VGoC7ygJ13Xo9xmUCYiSnZ?usp=drive_link" TargetMode="External" Id="rId127"/><Relationship Type="http://schemas.openxmlformats.org/officeDocument/2006/relationships/hyperlink" Target="https://drive.google.com/drive/folders/13mfVDNZgF4rDsTQXud8kdU80Z473VogY?usp=drive_link" TargetMode="External" Id="rId128"/><Relationship Type="http://schemas.openxmlformats.org/officeDocument/2006/relationships/hyperlink" Target="3.1.A" TargetMode="External" Id="rId129"/><Relationship Type="http://schemas.openxmlformats.org/officeDocument/2006/relationships/hyperlink" Target="3.1.B" TargetMode="External" Id="rId130"/><Relationship Type="http://schemas.openxmlformats.org/officeDocument/2006/relationships/hyperlink" Target="3.1.C" TargetMode="External" Id="rId131"/><Relationship Type="http://schemas.openxmlformats.org/officeDocument/2006/relationships/hyperlink" Target="https://drive.google.com/drive/folders/1Dk-W3bIdb35gabUwWZAYoqybx8S07fJx" TargetMode="External" Id="rId132"/><Relationship Type="http://schemas.openxmlformats.org/officeDocument/2006/relationships/hyperlink" Target="https://drive.google.com/drive/folders/13Q3BlwGuBVECRQYXhWEwhedhNFc1GMdF" TargetMode="External" Id="rId133"/><Relationship Type="http://schemas.openxmlformats.org/officeDocument/2006/relationships/hyperlink" Target="https://drive.google.com/drive/folders/1mX1T4rV_5ChsBKx6xS8ctNaeDDKxiJW9" TargetMode="External" Id="rId134"/><Relationship Type="http://schemas.openxmlformats.org/officeDocument/2006/relationships/hyperlink" Target="https://drive.google.com/drive/folders/1DmgKrq0IASVjRURSk0uzf9bB9s2_XYfT" TargetMode="External" Id="rId135"/><Relationship Type="http://schemas.openxmlformats.org/officeDocument/2006/relationships/hyperlink" Target="https://drive.google.com/drive/folders/1q72HGRzyk8mJDwU2hOVnUESx47SVDS0x" TargetMode="External" Id="rId136"/><Relationship Type="http://schemas.openxmlformats.org/officeDocument/2006/relationships/hyperlink" Target="https://drive.google.com/drive/folders/1rdkOY1lBRm8S--PZpAfWprwlqxtcxwI9" TargetMode="External" Id="rId137"/><Relationship Type="http://schemas.openxmlformats.org/officeDocument/2006/relationships/hyperlink" Target="https://drive.google.com/drive/folders/1FioF2AMMwlFgh3d5BAZM-Fa8m7TEUd_4" TargetMode="External" Id="rId138"/><Relationship Type="http://schemas.openxmlformats.org/officeDocument/2006/relationships/hyperlink" Target="https://drive.google.com/drive/folders/1Bm4Mh1WBsrd0r0yCFbz2iGbj_k_vO1t_" TargetMode="External" Id="rId139"/><Relationship Type="http://schemas.openxmlformats.org/officeDocument/2006/relationships/hyperlink" Target="https://drive.google.com/drive/folders/1STmXi5MF2atbgCzoCbwTx11kVJPQD4QD" TargetMode="External" Id="rId140"/><Relationship Type="http://schemas.openxmlformats.org/officeDocument/2006/relationships/hyperlink" Target="https://drive.google.com/drive/folders/1d9WaOBFoc3Y224GfVRVoZOVFMxQmCu--" TargetMode="External" Id="rId141"/><Relationship Type="http://schemas.openxmlformats.org/officeDocument/2006/relationships/hyperlink" Target="https://drive.google.com/drive/folders/1yn_GfZd-t3spI4H1Wm49plv4qCMBU9dk" TargetMode="External" Id="rId142"/><Relationship Type="http://schemas.openxmlformats.org/officeDocument/2006/relationships/hyperlink" Target="https://drive.google.com/drive/folders/1L6xuZ0lrSA1yGPmLrjjzpyrN8CK05mDz" TargetMode="External" Id="rId143"/><Relationship Type="http://schemas.openxmlformats.org/officeDocument/2006/relationships/hyperlink" Target="https://drive.google.com/drive/folders/1WnT11WU9IRuLck24RWNRCusfQ42vWxNn" TargetMode="External" Id="rId144"/><Relationship Type="http://schemas.openxmlformats.org/officeDocument/2006/relationships/hyperlink" Target="https://drive.google.com/drive/folders/1DA75h3P7cBYaEAtIOj6xzGDIU60tPCJp" TargetMode="External" Id="rId145"/><Relationship Type="http://schemas.openxmlformats.org/officeDocument/2006/relationships/hyperlink" Target="https://drive.google.com/drive/folders/1Rq6Id2PNGGST3GoykDjfJnCEdr8S3pV0" TargetMode="External" Id="rId146"/><Relationship Type="http://schemas.openxmlformats.org/officeDocument/2006/relationships/hyperlink" Target="https://drive.google.com/drive/folders/1g9kUtAb33PJbRkxwC0FyPK2X5XZ0M72h" TargetMode="External" Id="rId147"/><Relationship Type="http://schemas.openxmlformats.org/officeDocument/2006/relationships/hyperlink" Target="https://drive.google.com/drive/folders/1oky8FVvSpLw6Pmx6ggFoHaLWbdWLX1_h" TargetMode="External" Id="rId148"/><Relationship Type="http://schemas.openxmlformats.org/officeDocument/2006/relationships/hyperlink" Target="https://drive.google.com/drive/folders/1DBM6jQMX_Vm3fkZGEowXLfV3BNPReTY_" TargetMode="External" Id="rId149"/><Relationship Type="http://schemas.openxmlformats.org/officeDocument/2006/relationships/hyperlink" Target="https://drive.google.com/drive/folders/1cwet-7ubZpJYCnrnoPoMdt5cQ6768aFH" TargetMode="External" Id="rId150"/><Relationship Type="http://schemas.openxmlformats.org/officeDocument/2006/relationships/hyperlink" Target="https://drive.google.com/drive/folders/1AdAEqeTET4tY0N7nEAjczy6H6wQC4KiB" TargetMode="External" Id="rId151"/><Relationship Type="http://schemas.openxmlformats.org/officeDocument/2006/relationships/hyperlink" Target="https://drive.google.com/drive/folders/14Llo8lAPIlRXmlHX4LmBgi5YYe3yz7-g" TargetMode="External" Id="rId152"/><Relationship Type="http://schemas.openxmlformats.org/officeDocument/2006/relationships/hyperlink" Target="https://drive.google.com/drive/folders/1-BVuQc6UGLiuXg3CwS1RdtzM3mgPXW1x" TargetMode="External" Id="rId153"/><Relationship Type="http://schemas.openxmlformats.org/officeDocument/2006/relationships/hyperlink" Target="https://drive.google.com/drive/folders/1w-6oa3Y7967CvhKDwbZF3O7EHxpu9hAQ" TargetMode="External" Id="rId154"/><Relationship Type="http://schemas.openxmlformats.org/officeDocument/2006/relationships/hyperlink" Target="https://drive.google.com/drive/folders/1E5xN8cjUIJ9E-awF8sYUQhQXmCi9HTD8" TargetMode="External" Id="rId155"/><Relationship Type="http://schemas.openxmlformats.org/officeDocument/2006/relationships/hyperlink" Target="https://drive.google.com/drive/folders/1brY-aCtUYJb--yqjDQ1Xx4oT6pDS8fxH" TargetMode="External" Id="rId156"/><Relationship Type="http://schemas.openxmlformats.org/officeDocument/2006/relationships/hyperlink" Target="https://drive.google.com/drive/folders/1JQNIZsLYA94nVfPU9URcESGS02_w_0pl" TargetMode="External" Id="rId157"/><Relationship Type="http://schemas.openxmlformats.org/officeDocument/2006/relationships/hyperlink" Target="I.a" TargetMode="External" Id="rId158"/><Relationship Type="http://schemas.openxmlformats.org/officeDocument/2006/relationships/hyperlink" Target="https://drive.google.com/drive/folders/1ReqvH6vofc1Fe5PdgLl8_MUaTXdo3efo?usp=drive_link" TargetMode="External" Id="rId159"/><Relationship Type="http://schemas.openxmlformats.org/officeDocument/2006/relationships/hyperlink" Target="https://drive.google.com/drive/folders/1NZYU6OvoZa0TBgPOZwGpE1Hx9SZXnjfL?usp=drive_link" TargetMode="External" Id="rId160"/><Relationship Type="http://schemas.openxmlformats.org/officeDocument/2006/relationships/hyperlink" Target="https://drive.google.com/drive/folders/1lc8MxUJLYOG9-jeSHxN9rswNEM89aXMp?usp=drive_link" TargetMode="External" Id="rId161"/><Relationship Type="http://schemas.openxmlformats.org/officeDocument/2006/relationships/hyperlink" Target="https://drive.google.com/drive/folders/1tWJy1b1OeHBW5_lLbYHA3n-xEsPREoEW?usp=drive_link" TargetMode="External" Id="rId162"/><Relationship Type="http://schemas.openxmlformats.org/officeDocument/2006/relationships/hyperlink" Target="II.d" TargetMode="External" Id="rId163"/><Relationship Type="http://schemas.openxmlformats.org/officeDocument/2006/relationships/hyperlink" Target="https://drive.google.com/drive/folders/1T9ntZOGgyEhymJDETIeMqCCo_rMHeY53?usp=drive_link" TargetMode="External" Id="rId164"/><Relationship Type="http://schemas.openxmlformats.org/officeDocument/2006/relationships/hyperlink" Target="https://drive.google.com/drive/u/3/folders/13miNbEK6qzim1BQ7Lyj-QMxXjS7r3dRX" TargetMode="External" Id="rId165"/><Relationship Type="http://schemas.openxmlformats.org/officeDocument/2006/relationships/hyperlink" Target="https://drive.google.com/drive/folders/15TrPtRMBgR43eQxUvNS89PEgaCqodEpb?usp=drive_link" TargetMode="External" Id="rId166"/><Relationship Type="http://schemas.openxmlformats.org/officeDocument/2006/relationships/hyperlink" Target="https://drive.google.com/drive/folders/113y8-Mf2LeJOG6Tsz0u88m35yjMZsH_2?usp=drive_link" TargetMode="External" Id="rId167"/><Relationship Type="http://schemas.openxmlformats.org/officeDocument/2006/relationships/hyperlink" Target="IV.a" TargetMode="External" Id="rId168"/><Relationship Type="http://schemas.openxmlformats.org/officeDocument/2006/relationships/hyperlink" Target="https://drive.google.com/drive/folders/1BwjQQD9uJHf8ggo3Q1svdPEr0AhekE48?usp=drive_link" TargetMode="External" Id="rId169"/><Relationship Type="http://schemas.openxmlformats.org/officeDocument/2006/relationships/hyperlink" Target="https://drive.google.com/drive/folders/1mXy9DTn8wMc7cpaycvbZIwk_693mtgZE?usp=drive_link" TargetMode="External" Id="rId170"/><Relationship Type="http://schemas.openxmlformats.org/officeDocument/2006/relationships/hyperlink" Target="https://drive.google.com/drive/folders/10_fMXijeYCKVVuqrkh41OJ4OgWAB3gn6?usp=drive_link" TargetMode="External" Id="rId171"/><Relationship Type="http://schemas.openxmlformats.org/officeDocument/2006/relationships/hyperlink" Target="https://drive.google.com/drive/folders/11zFBJrIMrlEk_nGxUBk3hiT8usS1W_j0?usp=drive_link" TargetMode="External" Id="rId172"/><Relationship Type="http://schemas.openxmlformats.org/officeDocument/2006/relationships/hyperlink" Target="https://drive.google.com/drive/folders/1Wv--eLuGe0-I3eEnSa8jEy51-AbHq8fO?usp=drive_link" TargetMode="External" Id="rId173"/><Relationship Type="http://schemas.openxmlformats.org/officeDocument/2006/relationships/hyperlink" Target="https://drive.google.com/drive/folders/1dj4rhM1_N0EXf71qIMBNaHhrLyrYhDmN?usp=drive_link" TargetMode="External" Id="rId174"/><Relationship Type="http://schemas.openxmlformats.org/officeDocument/2006/relationships/hyperlink" Target="V.e" TargetMode="External" Id="rId175"/><Relationship Type="http://schemas.openxmlformats.org/officeDocument/2006/relationships/hyperlink" Target="I.a" TargetMode="External" Id="rId176"/><Relationship Type="http://schemas.openxmlformats.org/officeDocument/2006/relationships/hyperlink" Target="https://drive.google.com/drive/folders/1PduKlMxCXO4bTHdNkDR1QHzy6QQabEHx?usp=drive_link" TargetMode="External" Id="rId177"/><Relationship Type="http://schemas.openxmlformats.org/officeDocument/2006/relationships/hyperlink" Target="https://drive.google.com/drive/folders/1Gb2qP6oqlls2GzJyUMB73iEDSe5R-ImR?usp=drive_link" TargetMode="External" Id="rId178"/><Relationship Type="http://schemas.openxmlformats.org/officeDocument/2006/relationships/hyperlink" Target="https://drive.google.com/drive/folders/13rRC_aXe9q_3tvvJ4wHNCQ7z7HyHejD8?usp=drive_link" TargetMode="External" Id="rId179"/><Relationship Type="http://schemas.openxmlformats.org/officeDocument/2006/relationships/hyperlink" Target="https://drive.google.com/drive/folders/1nQa5TB-4_lbpwMDLzFMP7RicShy92Qyc?usp=drive_link" TargetMode="External" Id="rId180"/><Relationship Type="http://schemas.openxmlformats.org/officeDocument/2006/relationships/hyperlink" Target="https://drive.google.com/drive/folders/1MMDBvAp3srvTGmPPp4bV1cnKe5XA-5tB?usp=drive_link" TargetMode="External" Id="rId181"/><Relationship Type="http://schemas.openxmlformats.org/officeDocument/2006/relationships/hyperlink" Target="https://drive.google.com/drive/folders/1QXB-mMYahr169cwvIgXjWtR8RjvIwevd?usp=drive_link" TargetMode="External" Id="rId182"/><Relationship Type="http://schemas.openxmlformats.org/officeDocument/2006/relationships/hyperlink" Target="https://drive.google.com/drive/folders/16fhNkg1-PG9bNTLki9Tu-_4j1knLXmn-?usp=drive_link" TargetMode="External" Id="rId183"/><Relationship Type="http://schemas.openxmlformats.org/officeDocument/2006/relationships/hyperlink" Target="https://drive.google.com/drive/folders/1LFu_aG2MMYQRNTlSvHqA3PTabof30zG7?usp=drive_link" TargetMode="External" Id="rId184"/><Relationship Type="http://schemas.openxmlformats.org/officeDocument/2006/relationships/hyperlink" Target="https://drive.google.com/drive/folders/1fog6LDV49FYkqXplpUMFBRqpj3MDakQZ?usp=drive_link" TargetMode="External" Id="rId185"/><Relationship Type="http://schemas.openxmlformats.org/officeDocument/2006/relationships/hyperlink" Target="https://drive.google.com/drive/folders/1Vgws7vTIzHWvr28hKRS8g0C3NjEY3RG3?usp=drive_link" TargetMode="External" Id="rId186"/><Relationship Type="http://schemas.openxmlformats.org/officeDocument/2006/relationships/hyperlink" Target="https://drive.google.com/drive/folders/1J-PJ5BAEYoRwZ4RM6lIPubQWiEPDhiHx?usp=drive_link" TargetMode="External" Id="rId187"/><Relationship Type="http://schemas.openxmlformats.org/officeDocument/2006/relationships/hyperlink" Target="https://drive.google.com/drive/folders/1j_ZRS4WQ6UUbxwZ8BTJypG7ce2SraJDF?usp=drive_link" TargetMode="External" Id="rId188"/><Relationship Type="http://schemas.openxmlformats.org/officeDocument/2006/relationships/hyperlink" Target="https://drive.google.com/drive/folders/1mR4ksDIS-CvFYoHIg-026g_AfWKA8b4T?usp=drive_link" TargetMode="External" Id="rId189"/><Relationship Type="http://schemas.openxmlformats.org/officeDocument/2006/relationships/hyperlink" Target="https://drive.google.com/drive/folders/1-SZXzEYtcLfk6eRLe_k2sb2CjQSkHqNa?usp=drive_link" TargetMode="External" Id="rId190"/><Relationship Type="http://schemas.openxmlformats.org/officeDocument/2006/relationships/hyperlink" Target="https://drive.google.com/drive/folders/1O8VumDlXFNj8nRvikbBfDwKwzZ9A67l-?usp=drive_link" TargetMode="External" Id="rId191"/><Relationship Type="http://schemas.openxmlformats.org/officeDocument/2006/relationships/hyperlink" Target="https://drive.google.com/drive/folders/1Q6nIaNGHYfEVt4-5cycRqOd4oVolHM-j?usp=drive_link" TargetMode="External" Id="rId192"/><Relationship Type="http://schemas.openxmlformats.org/officeDocument/2006/relationships/hyperlink" Target="https://drive.google.com/drive/folders/1dz__zTyTwAdmxr0RsA-WoAz-MUrYyhqP?usp=drive_link" TargetMode="External" Id="rId193"/><Relationship Type="http://schemas.openxmlformats.org/officeDocument/2006/relationships/hyperlink" Target="https://drive.google.com/drive/folders/1FfojIDWWX3PFPoqXmExjjsiZwlmHzlNW?usp=drive_link" TargetMode="External" Id="rId194"/><Relationship Type="http://schemas.openxmlformats.org/officeDocument/2006/relationships/hyperlink" Target="https://drive.google.com/drive/folders/13vxcXMF32MMtwV4jeQV5zbQbVSnbIMjx?usp=drive_link" TargetMode="External" Id="rId195"/><Relationship Type="http://schemas.openxmlformats.org/officeDocument/2006/relationships/hyperlink" Target="https://drive.google.com/drive/folders/12IUKN_T0ut_DwmdvjbEwpzlF9qAWG5cm?usp=drive_link" TargetMode="External" Id="rId196"/><Relationship Type="http://schemas.openxmlformats.org/officeDocument/2006/relationships/hyperlink" Target="https://drive.google.com/drive/folders/1GY1zl6BZ6hPJGGXi1QSOA1EYyVj6fBss?usp=drive_link" TargetMode="External" Id="rId197"/><Relationship Type="http://schemas.openxmlformats.org/officeDocument/2006/relationships/hyperlink" Target="https://drive.google.com/drive/folders/1oSnNVZKpgM6cNy3zc63xeDMdRLqasHSE?usp=drive_link" TargetMode="External" Id="rId198"/><Relationship Type="http://schemas.openxmlformats.org/officeDocument/2006/relationships/hyperlink" Target="https://drive.google.com/drive/folders/1GJh3UcJhpLcOtwkkEAW7yYNMgYKrvbNh?usp=drive_link" TargetMode="External" Id="rId199"/><Relationship Type="http://schemas.openxmlformats.org/officeDocument/2006/relationships/hyperlink" Target="https://drive.google.com/drive/folders/1R1WTvl_QW_OnCkMePovMdyRSO1oeSm_x?usp=drive_link" TargetMode="External" Id="rId200"/><Relationship Type="http://schemas.openxmlformats.org/officeDocument/2006/relationships/hyperlink" Target="https://drive.google.com/drive/folders/12QbnVREinYDmHO3Y8Awdf4uuXNfSKou3?usp=drive_link" TargetMode="External" Id="rId201"/><Relationship Type="http://schemas.openxmlformats.org/officeDocument/2006/relationships/hyperlink" Target="https://drive.google.com/drive/folders/1QKBTnLbLMYsUXw-O79fAq5D56NJlaBs-?usp=drive_link" TargetMode="External" Id="rId202"/><Relationship Type="http://schemas.openxmlformats.org/officeDocument/2006/relationships/hyperlink" Target="https://drive.google.com/drive/folders/1ISBj7RXkqc802HSo_y9eHQQJJLHut8sT?usp=drive_link" TargetMode="External" Id="rId203"/><Relationship Type="http://schemas.openxmlformats.org/officeDocument/2006/relationships/hyperlink" Target="https://drive.google.com/drive/folders/1_LDkNld9jVS0s25x3ME-LqA1yL48PW5S?usp=drive_link" TargetMode="External" Id="rId204"/><Relationship Type="http://schemas.openxmlformats.org/officeDocument/2006/relationships/hyperlink" Target="https://drive.google.com/drive/folders/1G1noF9mGNjhbQgchFunjca1T8wRDA__y" TargetMode="External" Id="rId205"/><Relationship Type="http://schemas.openxmlformats.org/officeDocument/2006/relationships/hyperlink" Target="https://drive.google.com/drive/folders/1Ya94CmPzUsyib4UvLIlO8BWQp-U5hM8h" TargetMode="External" Id="rId206"/><Relationship Type="http://schemas.openxmlformats.org/officeDocument/2006/relationships/hyperlink" Target="https://drive.google.com/drive/folders/1mxaaBivrLX6lEs-EIGpnUPgraSewJ4gQ" TargetMode="External" Id="rId207"/><Relationship Type="http://schemas.openxmlformats.org/officeDocument/2006/relationships/hyperlink" Target="https://drive.google.com/drive/folders/1trNpEbNthTRdWENsa_q_XVOkDnvcTRxb" TargetMode="External" Id="rId208"/><Relationship Type="http://schemas.openxmlformats.org/officeDocument/2006/relationships/hyperlink" Target="https://drive.google.com/drive/folders/1zxyvPF5EVRwlVCCDfz8muIrXPKQY6qo3" TargetMode="External" Id="rId209"/><Relationship Type="http://schemas.openxmlformats.org/officeDocument/2006/relationships/hyperlink" Target="https://drive.google.com/drive/folders/1_Ld6B-Rcu8fKITVYhoBWhCEY9Lt32h_S" TargetMode="External" Id="rId210"/><Relationship Type="http://schemas.openxmlformats.org/officeDocument/2006/relationships/hyperlink" Target="https://drive.google.com/drive/folders/1T-sg2Y5-VZRFBjuJXt6gvKKwwp-7j5X_?usp=drive_link" TargetMode="External" Id="rId211"/><Relationship Type="http://schemas.openxmlformats.org/officeDocument/2006/relationships/hyperlink" Target="https://drive.google.com/drive/folders/1y-WoYm_CLLAEyN6dZKh4C4ltcv1A9XgD?usp=drive_link" TargetMode="External" Id="rId212"/><Relationship Type="http://schemas.openxmlformats.org/officeDocument/2006/relationships/hyperlink" Target="https://drive.google.com/drive/folders/13WiUplbLkgFIBTCQrxzLoqSO-l_hTs0w?usp=drive_link" TargetMode="External" Id="rId213"/><Relationship Type="http://schemas.openxmlformats.org/officeDocument/2006/relationships/hyperlink" Target="https://drive.google.com/drive/folders/1cJNPHudtxYGBeFhUG8dlrUlfLfoaSCPi?usp=drive_link" TargetMode="External" Id="rId214"/><Relationship Type="http://schemas.openxmlformats.org/officeDocument/2006/relationships/hyperlink" Target="https://drive.google.com/drive/folders/1xMvTASElNu6s1W5uDzq2tgtpAcN_Vmo1?usp=drive_link" TargetMode="External" Id="rId215"/><Relationship Type="http://schemas.openxmlformats.org/officeDocument/2006/relationships/hyperlink" Target="https://drive.google.com/drive/u/1/folders/1HbtDCJrWDmvWI1en_LoZmglEEWI50IE_ " TargetMode="External" Id="rId216"/><Relationship Type="http://schemas.openxmlformats.org/officeDocument/2006/relationships/hyperlink" Target="https://drive.google.com/drive/folders/1dOvozLi0L1PbbQaEqRawTnMrVW5MpYgv " TargetMode="External" Id="rId217"/><Relationship Type="http://schemas.openxmlformats.org/officeDocument/2006/relationships/hyperlink" Target="https://drive.google.com/drive/u/1/folders/1S6r9ogd_um0N7aHk9vNhgIq5uhvR7RrV " TargetMode="External" Id="rId218"/></Relationships>
</file>

<file path=xl/worksheets/sheet1.xml><?xml version="1.0" encoding="utf-8"?>
<worksheet xmlns="http://schemas.openxmlformats.org/spreadsheetml/2006/main">
  <sheetPr>
    <outlinePr summaryBelow="1" summaryRight="1"/>
    <pageSetUpPr fitToPage="1"/>
  </sheetPr>
  <dimension ref="A1:O29"/>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3" customWidth="1" min="3" max="3"/>
    <col width="18" customWidth="1" min="4" max="4"/>
    <col width="12" customWidth="1" min="5" max="5"/>
    <col width="3" customWidth="1" min="6" max="6"/>
    <col width="3" customWidth="1" min="7" max="7"/>
    <col width="12" customWidth="1" min="8" max="8"/>
    <col width="34" customWidth="1" min="9" max="9"/>
    <col width="12" customWidth="1" min="10" max="10"/>
    <col width="13" customWidth="1" min="11" max="11"/>
    <col width="12" customWidth="1" min="12" max="12"/>
    <col width="10" customWidth="1" min="13" max="13"/>
    <col width="18" customWidth="1" min="14" max="14"/>
  </cols>
  <sheetData>
    <row r="1" ht="28" customHeight="1">
      <c r="A1" s="1" t="inlineStr">
        <is>
          <t>DASHBOARD MONITORING PEMBANGUNAN ZONA INTEGRITAS
PROVINSI GORONTALO</t>
        </is>
      </c>
    </row>
    <row r="2" ht="28" customHeight="1"/>
    <row r="3" ht="28" customHeight="1">
      <c r="A3" s="2" t="inlineStr">
        <is>
          <t>Snapshot berdasarkan 2 file LKE yang diunggah • Kriteria WBK: Nilai RB ≥ 75 • Pengungkit ≥ 40 • setiap area pengungkit ≥ 60%</t>
        </is>
      </c>
    </row>
    <row r="5" ht="25" customHeight="1">
      <c r="A5" s="3" t="inlineStr">
        <is>
          <t>Jumlah Satker Diusulkan
2</t>
        </is>
      </c>
      <c r="B5" s="38" t="n"/>
      <c r="C5" s="39" t="n"/>
      <c r="D5" s="5" t="inlineStr">
        <is>
          <t>Memenuhi Syarat WBK
2</t>
        </is>
      </c>
      <c r="E5" s="38" t="n"/>
      <c r="F5" s="39" t="n"/>
      <c r="G5" s="3" t="inlineStr">
        <is>
          <t>Rata-rata Nilai RB
88.19</t>
        </is>
      </c>
      <c r="H5" s="38" t="n"/>
      <c r="I5" s="39" t="n"/>
      <c r="J5" s="7" t="inlineStr">
        <is>
          <t>Rata-rata Tindak Lanjut
0.43%</t>
        </is>
      </c>
      <c r="K5" s="38" t="n"/>
      <c r="L5" s="39" t="n"/>
    </row>
    <row r="6" ht="25" customHeight="1">
      <c r="A6" s="40" t="n"/>
      <c r="C6" s="41" t="n"/>
      <c r="D6" s="40" t="n"/>
      <c r="F6" s="41" t="n"/>
      <c r="G6" s="40" t="n"/>
      <c r="I6" s="41" t="n"/>
      <c r="J6" s="40" t="n"/>
      <c r="L6" s="41" t="n"/>
    </row>
    <row r="7" ht="25" customHeight="1">
      <c r="A7" s="40" t="n"/>
      <c r="C7" s="41" t="n"/>
      <c r="D7" s="40" t="n"/>
      <c r="F7" s="41" t="n"/>
      <c r="G7" s="40" t="n"/>
      <c r="I7" s="41" t="n"/>
      <c r="J7" s="40" t="n"/>
      <c r="L7" s="41" t="n"/>
    </row>
    <row r="8" ht="25" customHeight="1">
      <c r="A8" s="42" t="n"/>
      <c r="B8" s="43" t="n"/>
      <c r="C8" s="44" t="n"/>
      <c r="D8" s="42" t="n"/>
      <c r="E8" s="43" t="n"/>
      <c r="F8" s="44" t="n"/>
      <c r="G8" s="42" t="n"/>
      <c r="H8" s="43" t="n"/>
      <c r="I8" s="44" t="n"/>
      <c r="J8" s="42" t="n"/>
      <c r="K8" s="43" t="n"/>
      <c r="L8" s="44" t="n"/>
    </row>
    <row r="10">
      <c r="A10" s="9" t="inlineStr">
        <is>
          <t>Tindak Lanjut per Satker</t>
        </is>
      </c>
      <c r="H10" s="9" t="inlineStr">
        <is>
          <t>Peringkat Nilai Satker</t>
        </is>
      </c>
    </row>
    <row r="11">
      <c r="H11" s="10" t="inlineStr">
        <is>
          <t>Peringkat</t>
        </is>
      </c>
      <c r="I11" s="10" t="inlineStr">
        <is>
          <t>Satker</t>
        </is>
      </c>
      <c r="J11" s="10" t="inlineStr">
        <is>
          <t>Nilai RB</t>
        </is>
      </c>
      <c r="K11" s="10" t="inlineStr">
        <is>
          <t>Pengungkit</t>
        </is>
      </c>
      <c r="L11" s="10" t="inlineStr">
        <is>
          <t>Min Area</t>
        </is>
      </c>
      <c r="M11" s="10" t="inlineStr">
        <is>
          <t>TL %</t>
        </is>
      </c>
      <c r="N11" s="10" t="inlineStr">
        <is>
          <t>Status</t>
        </is>
      </c>
    </row>
    <row r="12">
      <c r="H12" s="11" t="n">
        <v>1</v>
      </c>
      <c r="I12" s="11" t="inlineStr">
        <is>
          <t>Kanwil BPN Provinsi Gorontalo</t>
        </is>
      </c>
      <c r="J12" s="11" t="n">
        <v>93.64166666666667</v>
      </c>
      <c r="K12" s="11" t="n">
        <v>53.99166666666667</v>
      </c>
      <c r="L12" s="45" t="n">
        <v>0.6428571428571429</v>
      </c>
      <c r="M12" s="45" t="n">
        <v>0.008547008547008548</v>
      </c>
      <c r="N12" s="45" t="inlineStr">
        <is>
          <t>MEMENUHI</t>
        </is>
      </c>
      <c r="O12" s="46" t="n"/>
    </row>
    <row r="13">
      <c r="H13" s="11" t="n">
        <v>2</v>
      </c>
      <c r="I13" s="11" t="inlineStr">
        <is>
          <t>Kantah Kabupaten Gorontalo</t>
        </is>
      </c>
      <c r="J13" s="11" t="n">
        <v>82.74070833333334</v>
      </c>
      <c r="K13" s="11" t="n">
        <v>45.43758333333334</v>
      </c>
      <c r="L13" s="45" t="n">
        <v>0.603625</v>
      </c>
      <c r="M13" s="45" t="n">
        <v>0</v>
      </c>
      <c r="N13" s="45" t="inlineStr">
        <is>
          <t>MEMENUHI</t>
        </is>
      </c>
      <c r="O13" s="46" t="n"/>
    </row>
    <row r="16">
      <c r="H16" s="14" t="inlineStr">
        <is>
          <t>Kriteria Status Memenuhi Syarat WBK</t>
        </is>
      </c>
    </row>
    <row r="17">
      <c r="H17" s="15" t="inlineStr">
        <is>
          <t>Nilai RB</t>
        </is>
      </c>
      <c r="I17" s="16" t="inlineStr">
        <is>
          <t>≥ 75</t>
        </is>
      </c>
      <c r="J17" s="47" t="n"/>
      <c r="K17" s="47" t="n"/>
      <c r="L17" s="47" t="n"/>
      <c r="M17" s="47" t="n"/>
      <c r="N17" s="48" t="n"/>
    </row>
    <row r="18">
      <c r="H18" s="15" t="inlineStr">
        <is>
          <t>Nilai Pengungkit</t>
        </is>
      </c>
      <c r="I18" s="16" t="inlineStr">
        <is>
          <t>≥ 40</t>
        </is>
      </c>
      <c r="J18" s="47" t="n"/>
      <c r="K18" s="47" t="n"/>
      <c r="L18" s="47" t="n"/>
      <c r="M18" s="47" t="n"/>
      <c r="N18" s="48" t="n"/>
    </row>
    <row r="19">
      <c r="H19" s="15" t="inlineStr">
        <is>
          <t>Setiap Area Pengungkit</t>
        </is>
      </c>
      <c r="I19" s="16" t="inlineStr">
        <is>
          <t>≥ 60%</t>
        </is>
      </c>
      <c r="J19" s="47" t="n"/>
      <c r="K19" s="47" t="n"/>
      <c r="L19" s="47" t="n"/>
      <c r="M19" s="47" t="n"/>
      <c r="N19" s="48" t="n"/>
    </row>
    <row r="21">
      <c r="H21" s="17" t="inlineStr">
        <is>
          <t>Catatan: persentase tindak lanjut dihitung dari checklist pada 3 status per poin LKE: Perbaikan Catatan TPI, Eviden 2024–2025, dan Kesesuaian Penamaan Eviden. Baris total/agregat tidak dihitung.</t>
        </is>
      </c>
      <c r="I21" s="38" t="n"/>
      <c r="J21" s="38" t="n"/>
      <c r="K21" s="38" t="n"/>
      <c r="L21" s="38" t="n"/>
      <c r="M21" s="38" t="n"/>
      <c r="N21" s="39" t="n"/>
    </row>
    <row r="22">
      <c r="H22" s="40" t="n"/>
      <c r="N22" s="41" t="n"/>
    </row>
    <row r="23">
      <c r="H23" s="42" t="n"/>
      <c r="I23" s="43" t="n"/>
      <c r="J23" s="43" t="n"/>
      <c r="K23" s="43" t="n"/>
      <c r="L23" s="43" t="n"/>
      <c r="M23" s="43" t="n"/>
      <c r="N23" s="44" t="n"/>
    </row>
    <row r="27">
      <c r="A27" t="inlineStr">
        <is>
          <t>Satker</t>
        </is>
      </c>
      <c r="B27" t="inlineStr">
        <is>
          <t>TL %</t>
        </is>
      </c>
    </row>
    <row r="28">
      <c r="A28" t="inlineStr">
        <is>
          <t>Kantah Kabupaten Gorontalo</t>
        </is>
      </c>
      <c r="B28" s="46" t="n">
        <v>0</v>
      </c>
    </row>
    <row r="29">
      <c r="A29" t="inlineStr">
        <is>
          <t>Kanwil BPN Provinsi Gorontalo</t>
        </is>
      </c>
      <c r="B29" s="46" t="n">
        <v>0.008547008547008548</v>
      </c>
    </row>
  </sheetData>
  <mergeCells count="13">
    <mergeCell ref="A1:N2"/>
    <mergeCell ref="A5:C8"/>
    <mergeCell ref="A3:N3"/>
    <mergeCell ref="I19:N19"/>
    <mergeCell ref="A10:F10"/>
    <mergeCell ref="J5:L8"/>
    <mergeCell ref="H21:N23"/>
    <mergeCell ref="D5:F8"/>
    <mergeCell ref="G5:I8"/>
    <mergeCell ref="I17:N17"/>
    <mergeCell ref="I18:N18"/>
    <mergeCell ref="H16:N16"/>
    <mergeCell ref="H10:N10"/>
  </mergeCells>
  <pageMargins left="0.25" right="0.25" top="0.4" bottom="0.4"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27"/>
  <sheetViews>
    <sheetView showGridLines="0" workbookViewId="0">
      <pane ySplit="9" topLeftCell="A10" activePane="bottomLeft" state="frozen"/>
      <selection pane="bottomLeft" activeCell="A1" sqref="A1"/>
    </sheetView>
  </sheetViews>
  <sheetFormatPr baseColWidth="8" defaultRowHeight="15"/>
  <cols>
    <col width="13" customWidth="1" min="1" max="1"/>
    <col width="44" customWidth="1" min="2" max="2"/>
    <col width="11" customWidth="1" min="3" max="3"/>
    <col width="13" customWidth="1" min="4" max="4"/>
    <col width="13" customWidth="1" min="5" max="5"/>
    <col width="15" customWidth="1" min="6" max="6"/>
    <col width="3" customWidth="1" min="7" max="7"/>
    <col width="40" customWidth="1" min="8" max="8"/>
    <col width="10" customWidth="1" min="9" max="9"/>
    <col width="13" customWidth="1" min="10" max="10"/>
    <col width="15" customWidth="1" min="11" max="11"/>
    <col width="15" customWidth="1" min="12" max="12"/>
    <col width="14" customWidth="1" min="13" max="13"/>
    <col width="11" customWidth="1" min="14" max="14"/>
    <col width="18" customWidth="1" min="15" max="15"/>
  </cols>
  <sheetData>
    <row r="1">
      <c r="A1" s="18" t="inlineStr">
        <is>
          <t>PROGRESS PEMBANGUNAN ZI SATKER</t>
        </is>
      </c>
    </row>
    <row r="2"/>
    <row r="4">
      <c r="A4" s="19" t="inlineStr">
        <is>
          <t>Pilih Satker</t>
        </is>
      </c>
      <c r="B4" s="20" t="inlineStr">
        <is>
          <t>Kantah Kabupaten Gorontalo</t>
        </is>
      </c>
      <c r="D4" t="inlineStr">
        <is>
          <t>Kriteria</t>
        </is>
      </c>
      <c r="E4" s="21" t="inlineStr">
        <is>
          <t>WBK: RB ≥75 | Pengungkit ≥40 | setiap area ≥60%</t>
        </is>
      </c>
    </row>
    <row r="6">
      <c r="A6" s="22" t="inlineStr">
        <is>
          <t>Nilai RB</t>
        </is>
      </c>
      <c r="B6" s="48" t="n"/>
      <c r="C6" s="22" t="inlineStr">
        <is>
          <t>Pengungkit</t>
        </is>
      </c>
      <c r="D6" s="48" t="n"/>
      <c r="E6" s="22" t="inlineStr">
        <is>
          <t>Hasil</t>
        </is>
      </c>
      <c r="F6" s="48" t="n"/>
      <c r="G6" s="22" t="inlineStr">
        <is>
          <t>Status</t>
        </is>
      </c>
      <c r="H6" s="48" t="n"/>
    </row>
    <row r="7">
      <c r="A7" s="23">
        <f>INDEX(Data_Satker!$C$2:$C$100,MATCH($B$4,Data_Satker!$A$2:$A$100,0))</f>
        <v/>
      </c>
      <c r="B7" s="48" t="n"/>
      <c r="C7" s="23">
        <f>INDEX(Data_Satker!$D$2:$D$100,MATCH($B$4,Data_Satker!$A$2:$A$100,0))</f>
        <v/>
      </c>
      <c r="D7" s="48" t="n"/>
      <c r="E7" s="23">
        <f>INDEX(Data_Satker!$F$2:$F$100,MATCH($B$4,Data_Satker!$A$2:$A$100,0))</f>
        <v/>
      </c>
      <c r="F7" s="48" t="n"/>
      <c r="G7" s="24">
        <f>INDEX(Data_Satker!$B$2:$B$100,MATCH($B$4,Data_Satker!$A$2:$A$100,0))</f>
        <v/>
      </c>
      <c r="H7" s="48" t="n"/>
    </row>
    <row r="10">
      <c r="A10" s="9" t="inlineStr">
        <is>
          <t>1. Nilai Area Perubahan &amp; Komponen Hasil</t>
        </is>
      </c>
      <c r="H10" s="9" t="inlineStr">
        <is>
          <t>2. Status Tindak Lanjut per Komponen</t>
        </is>
      </c>
    </row>
    <row r="11">
      <c r="A11" s="25" t="inlineStr">
        <is>
          <t>No.</t>
        </is>
      </c>
      <c r="B11" s="25" t="inlineStr">
        <is>
          <t>Komponen</t>
        </is>
      </c>
      <c r="C11" s="25" t="inlineStr">
        <is>
          <t>Bobot</t>
        </is>
      </c>
      <c r="D11" s="25" t="inlineStr">
        <is>
          <t>Nilai</t>
        </is>
      </c>
      <c r="E11" s="25" t="inlineStr">
        <is>
          <t>% Capaian</t>
        </is>
      </c>
      <c r="F11" s="25" t="inlineStr">
        <is>
          <t>Status</t>
        </is>
      </c>
      <c r="H11" s="26" t="inlineStr">
        <is>
          <t>Komponen</t>
        </is>
      </c>
      <c r="I11" s="26" t="inlineStr">
        <is>
          <t>Total Poin</t>
        </is>
      </c>
      <c r="J11" s="26" t="inlineStr">
        <is>
          <t>Catatan TPI</t>
        </is>
      </c>
      <c r="K11" s="26" t="inlineStr">
        <is>
          <t>Eviden 2024-2025</t>
        </is>
      </c>
      <c r="L11" s="26" t="inlineStr">
        <is>
          <t>Penamaan Eviden</t>
        </is>
      </c>
      <c r="M11" s="26" t="inlineStr">
        <is>
          <t>Total Checklist</t>
        </is>
      </c>
      <c r="N11" s="26" t="inlineStr">
        <is>
          <t>TL %</t>
        </is>
      </c>
      <c r="O11" s="26" t="inlineStr">
        <is>
          <t>Status</t>
        </is>
      </c>
    </row>
    <row r="12">
      <c r="A12" s="11" t="inlineStr">
        <is>
          <t>1</t>
        </is>
      </c>
      <c r="B12" s="11" t="inlineStr">
        <is>
          <t>MANAJEMEN PERUBAHAN</t>
        </is>
      </c>
      <c r="C12" s="11" t="n">
        <v>8</v>
      </c>
      <c r="D12" s="27">
        <f>SUMIFS(Data_Area!$F:$F,Data_Area!$A:$A,$B$4,Data_Area!$B:$B,"PENGUNGKIT",Data_Area!$C:$C,$A12)</f>
        <v/>
      </c>
      <c r="E12" s="45">
        <f>SUMIFS(Data_Area!$G:$G,Data_Area!$A:$A,$B$4,Data_Area!$B:$B,"PENGUNGKIT",Data_Area!$C:$C,$A12)</f>
        <v/>
      </c>
      <c r="F12" s="11">
        <f>IF(E12&gt;=60%,"OK","&lt; 60%")</f>
        <v/>
      </c>
      <c r="H12" s="11" t="inlineStr">
        <is>
          <t>MANAJEMEN PERUBAHAN</t>
        </is>
      </c>
      <c r="I12" s="11">
        <f>COUNTIFS(Data_Poin!$A:$A,$B$4,Data_Poin!$D:$D,$H12)</f>
        <v/>
      </c>
      <c r="J12" s="11">
        <f>COUNTIFS(Data_Poin!$A:$A,$B$4,Data_Poin!$D:$D,$H12,Data_Poin!$M:$M,"✓")</f>
        <v/>
      </c>
      <c r="K12" s="11">
        <f>COUNTIFS(Data_Poin!$A:$A,$B$4,Data_Poin!$D:$D,$H12,Data_Poin!$N:$N,"✓")</f>
        <v/>
      </c>
      <c r="L12" s="11">
        <f>COUNTIFS(Data_Poin!$A:$A,$B$4,Data_Poin!$D:$D,$H12,Data_Poin!$O:$O,"✓")</f>
        <v/>
      </c>
      <c r="M12" s="11">
        <f>J12+K12+L12</f>
        <v/>
      </c>
      <c r="N12" s="45">
        <f>IF(I12=0,0,M12/(I12*3))</f>
        <v/>
      </c>
      <c r="O12" s="11">
        <f>IF(N12=100%,"SELESAI","BELUM SELESAI")</f>
        <v/>
      </c>
    </row>
    <row r="13">
      <c r="A13" s="11" t="inlineStr">
        <is>
          <t>2</t>
        </is>
      </c>
      <c r="B13" s="11" t="inlineStr">
        <is>
          <t>PENATAAN TATALAKSANA</t>
        </is>
      </c>
      <c r="C13" s="11" t="n">
        <v>7</v>
      </c>
      <c r="D13" s="27">
        <f>SUMIFS(Data_Area!$F:$F,Data_Area!$A:$A,$B$4,Data_Area!$B:$B,"PENGUNGKIT",Data_Area!$C:$C,$A13)</f>
        <v/>
      </c>
      <c r="E13" s="45">
        <f>SUMIFS(Data_Area!$G:$G,Data_Area!$A:$A,$B$4,Data_Area!$B:$B,"PENGUNGKIT",Data_Area!$C:$C,$A13)</f>
        <v/>
      </c>
      <c r="F13" s="11">
        <f>IF(E13&gt;=60%,"OK","&lt; 60%")</f>
        <v/>
      </c>
      <c r="H13" s="11" t="inlineStr">
        <is>
          <t>PENATAAN TATALAKSANA</t>
        </is>
      </c>
      <c r="I13" s="11">
        <f>COUNTIFS(Data_Poin!$A:$A,$B$4,Data_Poin!$D:$D,$H13)</f>
        <v/>
      </c>
      <c r="J13" s="11">
        <f>COUNTIFS(Data_Poin!$A:$A,$B$4,Data_Poin!$D:$D,$H13,Data_Poin!$M:$M,"✓")</f>
        <v/>
      </c>
      <c r="K13" s="11">
        <f>COUNTIFS(Data_Poin!$A:$A,$B$4,Data_Poin!$D:$D,$H13,Data_Poin!$N:$N,"✓")</f>
        <v/>
      </c>
      <c r="L13" s="11">
        <f>COUNTIFS(Data_Poin!$A:$A,$B$4,Data_Poin!$D:$D,$H13,Data_Poin!$O:$O,"✓")</f>
        <v/>
      </c>
      <c r="M13" s="11">
        <f>J13+K13+L13</f>
        <v/>
      </c>
      <c r="N13" s="45">
        <f>IF(I13=0,0,M13/(I13*3))</f>
        <v/>
      </c>
      <c r="O13" s="11">
        <f>IF(N13=100%,"SELESAI","BELUM SELESAI")</f>
        <v/>
      </c>
    </row>
    <row r="14">
      <c r="A14" s="11" t="inlineStr">
        <is>
          <t>3</t>
        </is>
      </c>
      <c r="B14" s="11" t="inlineStr">
        <is>
          <t>PENATAAN SISTEM MANAJEMEN SDM APARATUR</t>
        </is>
      </c>
      <c r="C14" s="11" t="n">
        <v>10</v>
      </c>
      <c r="D14" s="27">
        <f>SUMIFS(Data_Area!$F:$F,Data_Area!$A:$A,$B$4,Data_Area!$B:$B,"PENGUNGKIT",Data_Area!$C:$C,$A14)</f>
        <v/>
      </c>
      <c r="E14" s="45">
        <f>SUMIFS(Data_Area!$G:$G,Data_Area!$A:$A,$B$4,Data_Area!$B:$B,"PENGUNGKIT",Data_Area!$C:$C,$A14)</f>
        <v/>
      </c>
      <c r="F14" s="11">
        <f>IF(E14&gt;=60%,"OK","&lt; 60%")</f>
        <v/>
      </c>
      <c r="H14" s="11" t="inlineStr">
        <is>
          <t>PENATAAN SISTEM MANAJEMEN SDM APARATUR</t>
        </is>
      </c>
      <c r="I14" s="11">
        <f>COUNTIFS(Data_Poin!$A:$A,$B$4,Data_Poin!$D:$D,$H14)</f>
        <v/>
      </c>
      <c r="J14" s="11">
        <f>COUNTIFS(Data_Poin!$A:$A,$B$4,Data_Poin!$D:$D,$H14,Data_Poin!$M:$M,"✓")</f>
        <v/>
      </c>
      <c r="K14" s="11">
        <f>COUNTIFS(Data_Poin!$A:$A,$B$4,Data_Poin!$D:$D,$H14,Data_Poin!$N:$N,"✓")</f>
        <v/>
      </c>
      <c r="L14" s="11">
        <f>COUNTIFS(Data_Poin!$A:$A,$B$4,Data_Poin!$D:$D,$H14,Data_Poin!$O:$O,"✓")</f>
        <v/>
      </c>
      <c r="M14" s="11">
        <f>J14+K14+L14</f>
        <v/>
      </c>
      <c r="N14" s="45">
        <f>IF(I14=0,0,M14/(I14*3))</f>
        <v/>
      </c>
      <c r="O14" s="11">
        <f>IF(N14=100%,"SELESAI","BELUM SELESAI")</f>
        <v/>
      </c>
    </row>
    <row r="15">
      <c r="A15" s="11" t="inlineStr">
        <is>
          <t>4</t>
        </is>
      </c>
      <c r="B15" s="11" t="inlineStr">
        <is>
          <t>PENGUATAN AKUNTABILITAS</t>
        </is>
      </c>
      <c r="C15" s="11" t="n">
        <v>10</v>
      </c>
      <c r="D15" s="27">
        <f>SUMIFS(Data_Area!$F:$F,Data_Area!$A:$A,$B$4,Data_Area!$B:$B,"PENGUNGKIT",Data_Area!$C:$C,$A15)</f>
        <v/>
      </c>
      <c r="E15" s="45">
        <f>SUMIFS(Data_Area!$G:$G,Data_Area!$A:$A,$B$4,Data_Area!$B:$B,"PENGUNGKIT",Data_Area!$C:$C,$A15)</f>
        <v/>
      </c>
      <c r="F15" s="11">
        <f>IF(E15&gt;=60%,"OK","&lt; 60%")</f>
        <v/>
      </c>
      <c r="H15" s="11" t="inlineStr">
        <is>
          <t>PENGUATAN AKUNTABILITAS</t>
        </is>
      </c>
      <c r="I15" s="11">
        <f>COUNTIFS(Data_Poin!$A:$A,$B$4,Data_Poin!$D:$D,$H15)</f>
        <v/>
      </c>
      <c r="J15" s="11">
        <f>COUNTIFS(Data_Poin!$A:$A,$B$4,Data_Poin!$D:$D,$H15,Data_Poin!$M:$M,"✓")</f>
        <v/>
      </c>
      <c r="K15" s="11">
        <f>COUNTIFS(Data_Poin!$A:$A,$B$4,Data_Poin!$D:$D,$H15,Data_Poin!$N:$N,"✓")</f>
        <v/>
      </c>
      <c r="L15" s="11">
        <f>COUNTIFS(Data_Poin!$A:$A,$B$4,Data_Poin!$D:$D,$H15,Data_Poin!$O:$O,"✓")</f>
        <v/>
      </c>
      <c r="M15" s="11">
        <f>J15+K15+L15</f>
        <v/>
      </c>
      <c r="N15" s="45">
        <f>IF(I15=0,0,M15/(I15*3))</f>
        <v/>
      </c>
      <c r="O15" s="11">
        <f>IF(N15=100%,"SELESAI","BELUM SELESAI")</f>
        <v/>
      </c>
    </row>
    <row r="16">
      <c r="A16" s="11" t="inlineStr">
        <is>
          <t>5</t>
        </is>
      </c>
      <c r="B16" s="11" t="inlineStr">
        <is>
          <t>PENGUATAN PENGAWASAN</t>
        </is>
      </c>
      <c r="C16" s="11" t="n">
        <v>15</v>
      </c>
      <c r="D16" s="27">
        <f>SUMIFS(Data_Area!$F:$F,Data_Area!$A:$A,$B$4,Data_Area!$B:$B,"PENGUNGKIT",Data_Area!$C:$C,$A16)</f>
        <v/>
      </c>
      <c r="E16" s="45">
        <f>SUMIFS(Data_Area!$G:$G,Data_Area!$A:$A,$B$4,Data_Area!$B:$B,"PENGUNGKIT",Data_Area!$C:$C,$A16)</f>
        <v/>
      </c>
      <c r="F16" s="11">
        <f>IF(E16&gt;=60%,"OK","&lt; 60%")</f>
        <v/>
      </c>
      <c r="H16" s="11" t="inlineStr">
        <is>
          <t>PENGUATAN PENGAWASAN</t>
        </is>
      </c>
      <c r="I16" s="11">
        <f>COUNTIFS(Data_Poin!$A:$A,$B$4,Data_Poin!$D:$D,$H16)</f>
        <v/>
      </c>
      <c r="J16" s="11">
        <f>COUNTIFS(Data_Poin!$A:$A,$B$4,Data_Poin!$D:$D,$H16,Data_Poin!$M:$M,"✓")</f>
        <v/>
      </c>
      <c r="K16" s="11">
        <f>COUNTIFS(Data_Poin!$A:$A,$B$4,Data_Poin!$D:$D,$H16,Data_Poin!$N:$N,"✓")</f>
        <v/>
      </c>
      <c r="L16" s="11">
        <f>COUNTIFS(Data_Poin!$A:$A,$B$4,Data_Poin!$D:$D,$H16,Data_Poin!$O:$O,"✓")</f>
        <v/>
      </c>
      <c r="M16" s="11">
        <f>J16+K16+L16</f>
        <v/>
      </c>
      <c r="N16" s="45">
        <f>IF(I16=0,0,M16/(I16*3))</f>
        <v/>
      </c>
      <c r="O16" s="11">
        <f>IF(N16=100%,"SELESAI","BELUM SELESAI")</f>
        <v/>
      </c>
    </row>
    <row r="17">
      <c r="A17" s="11" t="inlineStr">
        <is>
          <t>6</t>
        </is>
      </c>
      <c r="B17" s="11" t="inlineStr">
        <is>
          <t>PENINGKATAN KUALITAS PELAYANAN PUBLIK</t>
        </is>
      </c>
      <c r="C17" s="11" t="n">
        <v>10</v>
      </c>
      <c r="D17" s="27">
        <f>SUMIFS(Data_Area!$F:$F,Data_Area!$A:$A,$B$4,Data_Area!$B:$B,"PENGUNGKIT",Data_Area!$C:$C,$A17)</f>
        <v/>
      </c>
      <c r="E17" s="45">
        <f>SUMIFS(Data_Area!$G:$G,Data_Area!$A:$A,$B$4,Data_Area!$B:$B,"PENGUNGKIT",Data_Area!$C:$C,$A17)</f>
        <v/>
      </c>
      <c r="F17" s="11">
        <f>IF(E17&gt;=60%,"OK","&lt; 60%")</f>
        <v/>
      </c>
      <c r="H17" s="11" t="inlineStr">
        <is>
          <t>PENINGKATAN KUALITAS PELAYANAN PUBLIK</t>
        </is>
      </c>
      <c r="I17" s="11">
        <f>COUNTIFS(Data_Poin!$A:$A,$B$4,Data_Poin!$D:$D,$H17)</f>
        <v/>
      </c>
      <c r="J17" s="11">
        <f>COUNTIFS(Data_Poin!$A:$A,$B$4,Data_Poin!$D:$D,$H17,Data_Poin!$M:$M,"✓")</f>
        <v/>
      </c>
      <c r="K17" s="11">
        <f>COUNTIFS(Data_Poin!$A:$A,$B$4,Data_Poin!$D:$D,$H17,Data_Poin!$N:$N,"✓")</f>
        <v/>
      </c>
      <c r="L17" s="11">
        <f>COUNTIFS(Data_Poin!$A:$A,$B$4,Data_Poin!$D:$D,$H17,Data_Poin!$O:$O,"✓")</f>
        <v/>
      </c>
      <c r="M17" s="11">
        <f>J17+K17+L17</f>
        <v/>
      </c>
      <c r="N17" s="45">
        <f>IF(I17=0,0,M17/(I17*3))</f>
        <v/>
      </c>
      <c r="O17" s="11">
        <f>IF(N17=100%,"SELESAI","BELUM SELESAI")</f>
        <v/>
      </c>
    </row>
    <row r="18">
      <c r="H18" s="11" t="inlineStr">
        <is>
          <t>BIROKRASI YANG BERSIH DAN AKUNTABEL</t>
        </is>
      </c>
      <c r="I18" s="11">
        <f>COUNTIFS(Data_Poin!$A:$A,$B$4,Data_Poin!$D:$D,$H18)</f>
        <v/>
      </c>
      <c r="J18" s="11">
        <f>COUNTIFS(Data_Poin!$A:$A,$B$4,Data_Poin!$D:$D,$H18,Data_Poin!$M:$M,"✓")</f>
        <v/>
      </c>
      <c r="K18" s="11">
        <f>COUNTIFS(Data_Poin!$A:$A,$B$4,Data_Poin!$D:$D,$H18,Data_Poin!$N:$N,"✓")</f>
        <v/>
      </c>
      <c r="L18" s="11">
        <f>COUNTIFS(Data_Poin!$A:$A,$B$4,Data_Poin!$D:$D,$H18,Data_Poin!$O:$O,"✓")</f>
        <v/>
      </c>
      <c r="M18" s="11">
        <f>J18+K18+L18</f>
        <v/>
      </c>
      <c r="N18" s="45">
        <f>IF(I18=0,0,M18/(I18*3))</f>
        <v/>
      </c>
      <c r="O18" s="11">
        <f>IF(N18=100%,"SELESAI","BELUM SELESAI")</f>
        <v/>
      </c>
    </row>
    <row r="19">
      <c r="A19" s="14" t="inlineStr">
        <is>
          <t>Komponen Hasil</t>
        </is>
      </c>
      <c r="H19" s="11" t="inlineStr">
        <is>
          <t>PELAYANAN PUBLIK YANG PRIMA</t>
        </is>
      </c>
      <c r="I19" s="11">
        <f>COUNTIFS(Data_Poin!$A:$A,$B$4,Data_Poin!$D:$D,$H19)</f>
        <v/>
      </c>
      <c r="J19" s="11">
        <f>COUNTIFS(Data_Poin!$A:$A,$B$4,Data_Poin!$D:$D,$H19,Data_Poin!$M:$M,"✓")</f>
        <v/>
      </c>
      <c r="K19" s="11">
        <f>COUNTIFS(Data_Poin!$A:$A,$B$4,Data_Poin!$D:$D,$H19,Data_Poin!$N:$N,"✓")</f>
        <v/>
      </c>
      <c r="L19" s="11">
        <f>COUNTIFS(Data_Poin!$A:$A,$B$4,Data_Poin!$D:$D,$H19,Data_Poin!$O:$O,"✓")</f>
        <v/>
      </c>
      <c r="M19" s="11">
        <f>J19+K19+L19</f>
        <v/>
      </c>
      <c r="N19" s="45">
        <f>IF(I19=0,0,M19/(I19*3))</f>
        <v/>
      </c>
      <c r="O19" s="11">
        <f>IF(N19=100%,"SELESAI","BELUM SELESAI")</f>
        <v/>
      </c>
    </row>
    <row r="20">
      <c r="A20" s="11" t="inlineStr">
        <is>
          <t>B.1</t>
        </is>
      </c>
      <c r="B20" s="11" t="inlineStr">
        <is>
          <t>BIROKRASI YANG BERSIH DAN AKUNTABEL</t>
        </is>
      </c>
      <c r="C20" s="11" t="n">
        <v>22.5</v>
      </c>
      <c r="D20" s="27">
        <f>SUMIFS(Data_Area!$F:$F,Data_Area!$A:$A,$B$4,Data_Area!$B:$B,"HASIL",Data_Area!$C:$C,"1")</f>
        <v/>
      </c>
      <c r="E20" s="45">
        <f>SUMIFS(Data_Area!$G:$G,Data_Area!$A:$A,$B$4,Data_Area!$B:$B,"HASIL",Data_Area!$C:$C,"1")</f>
        <v/>
      </c>
      <c r="F20" s="11">
        <f>"-"</f>
        <v/>
      </c>
    </row>
    <row r="21">
      <c r="A21" s="11" t="inlineStr">
        <is>
          <t>B.2</t>
        </is>
      </c>
      <c r="B21" s="11" t="inlineStr">
        <is>
          <t>PELAYANAN PUBLIK YANG PRIMA</t>
        </is>
      </c>
      <c r="C21" s="11" t="n">
        <v>17.5</v>
      </c>
      <c r="D21" s="27">
        <f>SUMIFS(Data_Area!$F:$F,Data_Area!$A:$A,$B$4,Data_Area!$B:$B,"HASIL",Data_Area!$C:$C,"2")</f>
        <v/>
      </c>
      <c r="E21" s="45">
        <f>SUMIFS(Data_Area!$G:$G,Data_Area!$A:$A,$B$4,Data_Area!$B:$B,"HASIL",Data_Area!$C:$C,"2")</f>
        <v/>
      </c>
      <c r="F21" s="11">
        <f>"-"</f>
        <v/>
      </c>
    </row>
    <row r="23">
      <c r="A23" s="9" t="inlineStr">
        <is>
          <t>3. Detail Tindak Lanjut per Poin LKE</t>
        </is>
      </c>
    </row>
    <row r="24">
      <c r="A24" s="19" t="inlineStr">
        <is>
          <t>Pilih Komponen</t>
        </is>
      </c>
      <c r="B24" s="28" t="inlineStr">
        <is>
          <t>MANAJEMEN PERUBAHAN</t>
        </is>
      </c>
      <c r="D24" s="21" t="inlineStr">
        <is>
          <t>Pilih komponen di atas untuk menampilkan status pada level poin terkecil (contoh: A.1.i.a).</t>
        </is>
      </c>
    </row>
    <row r="26">
      <c r="A26" s="26" t="inlineStr">
        <is>
          <t>Code</t>
        </is>
      </c>
      <c r="B26" s="26" t="inlineStr">
        <is>
          <t>Indikator</t>
        </is>
      </c>
      <c r="C26" s="26" t="inlineStr">
        <is>
          <t>Catatan TPI</t>
        </is>
      </c>
      <c r="D26" s="26" t="inlineStr">
        <is>
          <t>Eviden 2024-2025</t>
        </is>
      </c>
      <c r="E26" s="26" t="inlineStr">
        <is>
          <t>Penamaan Eviden</t>
        </is>
      </c>
      <c r="F26" s="26" t="inlineStr">
        <is>
          <t>PIC</t>
        </is>
      </c>
      <c r="G26" s="26" t="inlineStr">
        <is>
          <t>Link Eviden</t>
        </is>
      </c>
    </row>
    <row r="27">
      <c r="A27" s="29">
        <f>FILTER(CHOOSECOLS(Data_Poin!$A$2:$R$1000,7,8,13,14,15,16,17),(Data_Poin!$A$2:$A$1000=$B$4)*(Data_Poin!$D$2:$D$1000=$B$24),"Tidak ada data")</f>
        <v/>
      </c>
    </row>
  </sheetData>
  <mergeCells count="14">
    <mergeCell ref="A1:N2"/>
    <mergeCell ref="E6:F6"/>
    <mergeCell ref="C6:D6"/>
    <mergeCell ref="C7:D7"/>
    <mergeCell ref="A7:B7"/>
    <mergeCell ref="G7:H7"/>
    <mergeCell ref="E7:F7"/>
    <mergeCell ref="A10:F10"/>
    <mergeCell ref="A19:F19"/>
    <mergeCell ref="A23:F23"/>
    <mergeCell ref="D24:N24"/>
    <mergeCell ref="G6:H6"/>
    <mergeCell ref="H10:N10"/>
    <mergeCell ref="A6:B6"/>
  </mergeCells>
  <conditionalFormatting sqref="N12:N19">
    <cfRule type="cellIs" priority="1" operator="equal" dxfId="0">
      <formula>1</formula>
    </cfRule>
    <cfRule type="cellIs" priority="2" operator="lessThan" dxfId="1">
      <formula>1</formula>
    </cfRule>
  </conditionalFormatting>
  <dataValidations count="2">
    <dataValidation sqref="B4" showDropDown="0" showInputMessage="0" showErrorMessage="0" allowBlank="0" type="list">
      <formula1>=SatkerList</formula1>
    </dataValidation>
    <dataValidation sqref="B24" showDropDown="0" showInputMessage="0" showErrorMessage="0" allowBlank="0" type="list">
      <formula1>=ComponentList</formula1>
    </dataValidation>
  </dataValidations>
  <pageMargins left="0.25" right="0.25" top="0.4" bottom="0.4"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8" t="inlineStr">
        <is>
          <t>ADMIN / PANDUAN PEMUTAKHIRAN DATA</t>
        </is>
      </c>
    </row>
    <row r="2"/>
    <row r="4" ht="30" customHeight="1">
      <c r="A4" s="30" t="inlineStr">
        <is>
          <t>Workbook ini adalah snapshot dashboard berdasarkan file LKE yang tersedia.</t>
        </is>
      </c>
      <c r="B4" s="47" t="n"/>
      <c r="C4" s="47" t="n"/>
      <c r="D4" s="47" t="n"/>
      <c r="E4" s="47" t="n"/>
      <c r="F4" s="47" t="n"/>
      <c r="G4" s="47" t="n"/>
      <c r="H4" s="48" t="n"/>
    </row>
    <row r="5" ht="38" customHeight="1">
      <c r="A5" s="30" t="inlineStr">
        <is>
          <t>Untuk kebutuhan upload file baru, penambahan satker, dan akses hanya untuk admin, gunakan aplikasi web yang disertakan bersama workbook ini.</t>
        </is>
      </c>
      <c r="B5" s="47" t="n"/>
      <c r="C5" s="47" t="n"/>
      <c r="D5" s="47" t="n"/>
      <c r="E5" s="47" t="n"/>
      <c r="F5" s="47" t="n"/>
      <c r="G5" s="47" t="n"/>
      <c r="H5" s="48" t="n"/>
    </row>
    <row r="6" ht="38" customHeight="1">
      <c r="A6" s="30" t="inlineStr">
        <is>
          <t>Pada aplikasi web: viewer dapat melihat Dashboard dan Progress; menu Admin meminta password sebelum fitur upload ditampilkan.</t>
        </is>
      </c>
      <c r="B6" s="47" t="n"/>
      <c r="C6" s="47" t="n"/>
      <c r="D6" s="47" t="n"/>
      <c r="E6" s="47" t="n"/>
      <c r="F6" s="47" t="n"/>
      <c r="G6" s="47" t="n"/>
      <c r="H6" s="48" t="n"/>
    </row>
    <row r="7" ht="38" customHeight="1">
      <c r="A7" s="30" t="inlineStr">
        <is>
          <t>Upload satu atau beberapa file LKE .xlsx. Nama satker dapat dikoreksi sebelum data disimpan. Jika nama satker sudah ada, data akan diperbarui; jika belum ada, satker baru ditambahkan.</t>
        </is>
      </c>
      <c r="B7" s="47" t="n"/>
      <c r="C7" s="47" t="n"/>
      <c r="D7" s="47" t="n"/>
      <c r="E7" s="47" t="n"/>
      <c r="F7" s="47" t="n"/>
      <c r="G7" s="47" t="n"/>
      <c r="H7" s="48" t="n"/>
    </row>
    <row r="8" ht="38" customHeight="1">
      <c r="A8" s="30" t="inlineStr">
        <is>
          <t>Persentase tindak lanjut dihitung dari 3 checklist pada setiap poin: Perbaikan Catatan TPI, Eviden 2024-2025, dan Kesesuaian Penamaan Eviden. Baris total/agregat tidak dihitung.</t>
        </is>
      </c>
      <c r="B8" s="47" t="n"/>
      <c r="C8" s="47" t="n"/>
      <c r="D8" s="47" t="n"/>
      <c r="E8" s="47" t="n"/>
      <c r="F8" s="47" t="n"/>
      <c r="G8" s="47" t="n"/>
      <c r="H8" s="48" t="n"/>
    </row>
    <row r="9" ht="38" customHeight="1">
      <c r="A9" s="30" t="inlineStr">
        <is>
          <t>Kriteria status WBK pada dashboard: Nilai RB ≥75, Nilai Pengungkit ≥40, dan nilai minimal setiap area pengungkit ≥60%.</t>
        </is>
      </c>
      <c r="B9" s="47" t="n"/>
      <c r="C9" s="47" t="n"/>
      <c r="D9" s="47" t="n"/>
      <c r="E9" s="47" t="n"/>
      <c r="F9" s="47" t="n"/>
      <c r="G9" s="47" t="n"/>
      <c r="H9" s="48" t="n"/>
    </row>
    <row r="12">
      <c r="A12" s="31" t="inlineStr">
        <is>
          <t>Catatan keamanan</t>
        </is>
      </c>
    </row>
    <row r="13">
      <c r="A13" s="32" t="inlineStr">
        <is>
          <t>Login tidak perlu untuk viewer. Untuk aplikasi yang dipublikasikan, login diperlukan khusus admin karena admin dapat mengubah data dashboard. Prototype web menggunakan password admin yang disimpan di secrets/environment variable, bukan ditulis di kode.</t>
        </is>
      </c>
      <c r="B13" s="38" t="n"/>
      <c r="C13" s="38" t="n"/>
      <c r="D13" s="38" t="n"/>
      <c r="E13" s="38" t="n"/>
      <c r="F13" s="38" t="n"/>
      <c r="G13" s="38" t="n"/>
      <c r="H13" s="39" t="n"/>
    </row>
    <row r="14">
      <c r="A14" s="40" t="n"/>
      <c r="H14" s="41" t="n"/>
    </row>
    <row r="15">
      <c r="A15" s="42" t="n"/>
      <c r="B15" s="43" t="n"/>
      <c r="C15" s="43" t="n"/>
      <c r="D15" s="43" t="n"/>
      <c r="E15" s="43" t="n"/>
      <c r="F15" s="43" t="n"/>
      <c r="G15" s="43" t="n"/>
      <c r="H15" s="44" t="n"/>
    </row>
  </sheetData>
  <mergeCells count="8">
    <mergeCell ref="A9:H9"/>
    <mergeCell ref="A4:H4"/>
    <mergeCell ref="A7:H7"/>
    <mergeCell ref="A5:H5"/>
    <mergeCell ref="A13:H15"/>
    <mergeCell ref="A1:H2"/>
    <mergeCell ref="A8:H8"/>
    <mergeCell ref="A6:H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2" customWidth="1" min="3" max="3"/>
    <col width="17" customWidth="1" min="4" max="4"/>
    <col width="13" customWidth="1" min="5" max="5"/>
    <col width="12" customWidth="1" min="6" max="6"/>
    <col width="13" customWidth="1" min="7" max="7"/>
    <col width="18" customWidth="1" min="8" max="8"/>
    <col width="12" customWidth="1" min="9" max="9"/>
    <col width="18" customWidth="1" min="10" max="10"/>
    <col width="22" customWidth="1" min="11" max="11"/>
    <col width="22" customWidth="1" min="12" max="12"/>
    <col width="15" customWidth="1" min="13" max="13"/>
    <col width="38" customWidth="1" min="14" max="14"/>
  </cols>
  <sheetData>
    <row r="1">
      <c r="A1" s="25" t="inlineStr">
        <is>
          <t>Satker</t>
        </is>
      </c>
      <c r="B1" s="25" t="inlineStr">
        <is>
          <t>Status WBK</t>
        </is>
      </c>
      <c r="C1" s="25" t="inlineStr">
        <is>
          <t>Nilai RB</t>
        </is>
      </c>
      <c r="D1" s="25" t="inlineStr">
        <is>
          <t>Nilai Pengungkit</t>
        </is>
      </c>
      <c r="E1" s="25" t="inlineStr">
        <is>
          <t>% Pengungkit</t>
        </is>
      </c>
      <c r="F1" s="25" t="inlineStr">
        <is>
          <t>Nilai Hasil</t>
        </is>
      </c>
      <c r="G1" s="25" t="inlineStr">
        <is>
          <t>% Hasil</t>
        </is>
      </c>
      <c r="H1" s="25" t="inlineStr">
        <is>
          <t>Min % Area Pengungkit</t>
        </is>
      </c>
      <c r="I1" s="25" t="inlineStr">
        <is>
          <t>TL % Total</t>
        </is>
      </c>
      <c r="J1" s="25" t="inlineStr">
        <is>
          <t>TL % Catatan TPI</t>
        </is>
      </c>
      <c r="K1" s="25" t="inlineStr">
        <is>
          <t>TL % Eviden 2024-2025</t>
        </is>
      </c>
      <c r="L1" s="25" t="inlineStr">
        <is>
          <t>TL % Penamaan Eviden</t>
        </is>
      </c>
      <c r="M1" s="25" t="inlineStr">
        <is>
          <t>Last Updated</t>
        </is>
      </c>
      <c r="N1" s="25" t="inlineStr">
        <is>
          <t>Source File</t>
        </is>
      </c>
    </row>
    <row r="2">
      <c r="A2" s="15" t="inlineStr">
        <is>
          <t>Kantah Kabupaten Gorontalo</t>
        </is>
      </c>
      <c r="B2" s="15" t="inlineStr">
        <is>
          <t>MEMENUHI</t>
        </is>
      </c>
      <c r="C2" s="33" t="n">
        <v>82.74070833333334</v>
      </c>
      <c r="D2" s="33" t="n">
        <v>45.43758333333334</v>
      </c>
      <c r="E2" s="49" t="n">
        <v>0.7572930555555556</v>
      </c>
      <c r="F2" s="33" t="n">
        <v>37.303125</v>
      </c>
      <c r="G2" s="49" t="n">
        <v>0.932578125</v>
      </c>
      <c r="H2" s="49" t="n">
        <v>0.603625</v>
      </c>
      <c r="I2" s="49" t="n">
        <v>0</v>
      </c>
      <c r="J2" s="49" t="n">
        <v>0</v>
      </c>
      <c r="K2" s="49" t="n">
        <v>0</v>
      </c>
      <c r="L2" s="49" t="n">
        <v>0</v>
      </c>
      <c r="M2" s="50" t="n">
        <v>46281</v>
      </c>
      <c r="N2" s="15" t="inlineStr">
        <is>
          <t>LKE Kantah Kab Gorontalo.xlsx</t>
        </is>
      </c>
    </row>
    <row r="3">
      <c r="A3" s="15" t="inlineStr">
        <is>
          <t>Kanwil BPN Provinsi Gorontalo</t>
        </is>
      </c>
      <c r="B3" s="15" t="inlineStr">
        <is>
          <t>MEMENUHI</t>
        </is>
      </c>
      <c r="C3" s="33" t="n">
        <v>93.64166666666667</v>
      </c>
      <c r="D3" s="33" t="n">
        <v>53.99166666666667</v>
      </c>
      <c r="E3" s="49" t="n">
        <v>0.8998611111111111</v>
      </c>
      <c r="F3" s="33" t="n">
        <v>39.65</v>
      </c>
      <c r="G3" s="49" t="n">
        <v>0.99125</v>
      </c>
      <c r="H3" s="49" t="n">
        <v>0.6428571428571429</v>
      </c>
      <c r="I3" s="49" t="n">
        <v>0.008547008547008548</v>
      </c>
      <c r="J3" s="49" t="n">
        <v>0.008547008547008548</v>
      </c>
      <c r="K3" s="49" t="n">
        <v>0.008547008547008548</v>
      </c>
      <c r="L3" s="49" t="n">
        <v>0.008547008547008548</v>
      </c>
      <c r="M3" s="50" t="n">
        <v>46281</v>
      </c>
      <c r="N3" s="15" t="inlineStr">
        <is>
          <t>LKE Kanwil BPN Gorontalo 2026. (1).xlsx</t>
        </is>
      </c>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2" customWidth="1" min="3" max="3"/>
    <col width="42" customWidth="1" min="4" max="4"/>
    <col width="10" customWidth="1" min="5" max="5"/>
    <col width="38" customWidth="1" min="6" max="6"/>
    <col width="14" customWidth="1" min="7" max="7"/>
    <col width="80" customWidth="1" min="8" max="8"/>
    <col width="15" customWidth="1" min="9" max="9"/>
    <col width="12" customWidth="1" min="10" max="10"/>
    <col width="11" customWidth="1" min="11" max="11"/>
    <col width="50" customWidth="1" min="12" max="12"/>
    <col width="16" customWidth="1" min="13" max="13"/>
    <col width="22" customWidth="1" min="14" max="14"/>
    <col width="20" customWidth="1" min="15" max="15"/>
    <col width="24" customWidth="1" min="16" max="16"/>
    <col width="55" customWidth="1" min="17" max="17"/>
    <col width="11" customWidth="1" min="18" max="18"/>
  </cols>
  <sheetData>
    <row r="1">
      <c r="A1" s="25" t="inlineStr">
        <is>
          <t>Satker</t>
        </is>
      </c>
      <c r="B1" s="25" t="inlineStr">
        <is>
          <t>Section</t>
        </is>
      </c>
      <c r="C1" s="25" t="inlineStr">
        <is>
          <t>Component No</t>
        </is>
      </c>
      <c r="D1" s="25" t="inlineStr">
        <is>
          <t>Component</t>
        </is>
      </c>
      <c r="E1" s="25" t="inlineStr">
        <is>
          <t>Sub No</t>
        </is>
      </c>
      <c r="F1" s="25" t="inlineStr">
        <is>
          <t>Subcomponent</t>
        </is>
      </c>
      <c r="G1" s="25" t="inlineStr">
        <is>
          <t>Code</t>
        </is>
      </c>
      <c r="H1" s="25" t="inlineStr">
        <is>
          <t>Indicator</t>
        </is>
      </c>
      <c r="I1" s="25" t="inlineStr">
        <is>
          <t>Answer</t>
        </is>
      </c>
      <c r="J1" s="25" t="inlineStr">
        <is>
          <t>Score</t>
        </is>
      </c>
      <c r="K1" s="25" t="inlineStr">
        <is>
          <t>Score %</t>
        </is>
      </c>
      <c r="L1" s="25" t="inlineStr">
        <is>
          <t>Catatan TPI</t>
        </is>
      </c>
      <c r="M1" s="25" t="inlineStr">
        <is>
          <t>TL Catatan TPI</t>
        </is>
      </c>
      <c r="N1" s="25" t="inlineStr">
        <is>
          <t>TL Eviden 2024-2025</t>
        </is>
      </c>
      <c r="O1" s="25" t="inlineStr">
        <is>
          <t>TL Penamaan Eviden</t>
        </is>
      </c>
      <c r="P1" s="25" t="inlineStr">
        <is>
          <t>PIC</t>
        </is>
      </c>
      <c r="Q1" s="25" t="inlineStr">
        <is>
          <t>Link Eviden</t>
        </is>
      </c>
      <c r="R1" s="25" t="inlineStr">
        <is>
          <t>Source Row</t>
        </is>
      </c>
    </row>
    <row r="2">
      <c r="A2" s="15" t="inlineStr">
        <is>
          <t>Kantah Kabupaten Gorontalo</t>
        </is>
      </c>
      <c r="B2" s="15" t="inlineStr">
        <is>
          <t>PENGUNGKIT</t>
        </is>
      </c>
      <c r="C2" s="15" t="inlineStr">
        <is>
          <t>1</t>
        </is>
      </c>
      <c r="D2" s="15" t="inlineStr">
        <is>
          <t>MANAJEMEN PERUBAHAN</t>
        </is>
      </c>
      <c r="E2" s="15" t="inlineStr">
        <is>
          <t>i</t>
        </is>
      </c>
      <c r="F2" s="15" t="inlineStr">
        <is>
          <t>Penyusunan Tim Kerja</t>
        </is>
      </c>
      <c r="G2" s="15" t="inlineStr">
        <is>
          <t>A.1.i.a</t>
        </is>
      </c>
      <c r="H2" s="15" t="inlineStr">
        <is>
          <t>Unit kerja telah membentuk tim untuk melakukan pembangunan Zona Integritas</t>
        </is>
      </c>
      <c r="I2" s="15" t="inlineStr">
        <is>
          <t>Ya</t>
        </is>
      </c>
      <c r="J2" s="15" t="n">
        <v>1</v>
      </c>
      <c r="K2" s="49" t="n"/>
      <c r="L2" s="15" t="inlineStr">
        <is>
          <t>Belum ada SK ZI Tahun 2025 dan Struktur Keanggotaan ZI 2 tahun terakhir</t>
        </is>
      </c>
      <c r="M2" s="15" t="inlineStr">
        <is>
          <t>—</t>
        </is>
      </c>
      <c r="N2" s="15" t="inlineStr">
        <is>
          <t>—</t>
        </is>
      </c>
      <c r="O2" s="15" t="inlineStr">
        <is>
          <t>—</t>
        </is>
      </c>
      <c r="P2" s="15" t="n"/>
      <c r="Q2" s="36" t="inlineStr">
        <is>
          <t>https://drive.google.com/drive/folders/1RhMfo0BLlXs55gHJix-hLiYdLfTqX-qX</t>
        </is>
      </c>
      <c r="R2" s="15" t="n">
        <v>6</v>
      </c>
    </row>
    <row r="3">
      <c r="A3" s="15" t="inlineStr">
        <is>
          <t>Kantah Kabupaten Gorontalo</t>
        </is>
      </c>
      <c r="B3" s="15" t="inlineStr">
        <is>
          <t>PENGUNGKIT</t>
        </is>
      </c>
      <c r="C3" s="15" t="inlineStr">
        <is>
          <t>1</t>
        </is>
      </c>
      <c r="D3" s="15" t="inlineStr">
        <is>
          <t>MANAJEMEN PERUBAHAN</t>
        </is>
      </c>
      <c r="E3" s="15" t="inlineStr">
        <is>
          <t>i</t>
        </is>
      </c>
      <c r="F3" s="15" t="inlineStr">
        <is>
          <t>Penyusunan Tim Kerja</t>
        </is>
      </c>
      <c r="G3" s="15" t="inlineStr">
        <is>
          <t>A.1.i.b</t>
        </is>
      </c>
      <c r="H3" s="15" t="inlineStr">
        <is>
          <t>Penentuan anggota Tim dipilih melalui prosedur/mekanisme yang jelas</t>
        </is>
      </c>
      <c r="I3" s="15" t="inlineStr">
        <is>
          <t>B</t>
        </is>
      </c>
      <c r="J3" s="15" t="n">
        <v>0.5</v>
      </c>
      <c r="K3" s="49" t="n"/>
      <c r="L3" s="15" t="inlineStr">
        <is>
          <t>Belum ada evidence 2025</t>
        </is>
      </c>
      <c r="M3" s="15" t="inlineStr">
        <is>
          <t>—</t>
        </is>
      </c>
      <c r="N3" s="15" t="inlineStr">
        <is>
          <t>—</t>
        </is>
      </c>
      <c r="O3" s="15" t="inlineStr">
        <is>
          <t>—</t>
        </is>
      </c>
      <c r="P3" s="15" t="n"/>
      <c r="Q3" s="36" t="inlineStr">
        <is>
          <t>https://drive.google.com/drive/folders/1vLl4DAtUEjNdlleP4v7WHm8A3Fcczt2R?usp=sharing</t>
        </is>
      </c>
      <c r="R3" s="15" t="n">
        <v>7</v>
      </c>
    </row>
    <row r="4">
      <c r="A4" s="15" t="inlineStr">
        <is>
          <t>Kantah Kabupaten Gorontalo</t>
        </is>
      </c>
      <c r="B4" s="15" t="inlineStr">
        <is>
          <t>PENGUNGKIT</t>
        </is>
      </c>
      <c r="C4" s="15" t="inlineStr">
        <is>
          <t>1</t>
        </is>
      </c>
      <c r="D4" s="15" t="inlineStr">
        <is>
          <t>MANAJEMEN PERUBAHAN</t>
        </is>
      </c>
      <c r="E4" s="15" t="inlineStr">
        <is>
          <t>ii</t>
        </is>
      </c>
      <c r="F4" s="15" t="inlineStr">
        <is>
          <t>Rencana Pembangunan Zona Integritas</t>
        </is>
      </c>
      <c r="G4" s="15" t="inlineStr">
        <is>
          <t>A.1.ii.a</t>
        </is>
      </c>
      <c r="H4" s="15" t="inlineStr">
        <is>
          <t>Terdapat dokumen rencana kerja pembangunan Zona Integritas menuju WBK/WBBM</t>
        </is>
      </c>
      <c r="I4" s="15" t="inlineStr">
        <is>
          <t>Ya</t>
        </is>
      </c>
      <c r="J4" s="15" t="n">
        <v>1</v>
      </c>
      <c r="K4" s="49" t="n"/>
      <c r="L4" s="15" t="inlineStr">
        <is>
          <t>ND dan Dokumentasi Kegiatan sama dengan Rapat Persiapan Pembentukan Tim Kerja ZI, belum ada SK, seluruh evidence hanya 2026</t>
        </is>
      </c>
      <c r="M4" s="15" t="inlineStr">
        <is>
          <t>—</t>
        </is>
      </c>
      <c r="N4" s="15" t="inlineStr">
        <is>
          <t>—</t>
        </is>
      </c>
      <c r="O4" s="15" t="inlineStr">
        <is>
          <t>—</t>
        </is>
      </c>
      <c r="P4" s="15" t="n"/>
      <c r="Q4" s="36" t="inlineStr">
        <is>
          <t>https://drive.google.com/drive/folders/112yvNGRWmWgBVyV7YMlp3-W9jXnuzx4Z</t>
        </is>
      </c>
      <c r="R4" s="15" t="n">
        <v>9</v>
      </c>
    </row>
    <row r="5">
      <c r="A5" s="15" t="inlineStr">
        <is>
          <t>Kantah Kabupaten Gorontalo</t>
        </is>
      </c>
      <c r="B5" s="15" t="inlineStr">
        <is>
          <t>PENGUNGKIT</t>
        </is>
      </c>
      <c r="C5" s="15" t="inlineStr">
        <is>
          <t>1</t>
        </is>
      </c>
      <c r="D5" s="15" t="inlineStr">
        <is>
          <t>MANAJEMEN PERUBAHAN</t>
        </is>
      </c>
      <c r="E5" s="15" t="inlineStr">
        <is>
          <t>ii</t>
        </is>
      </c>
      <c r="F5" s="15" t="inlineStr">
        <is>
          <t>Rencana Pembangunan Zona Integritas</t>
        </is>
      </c>
      <c r="G5" s="15" t="inlineStr">
        <is>
          <t>A.1.ii.b</t>
        </is>
      </c>
      <c r="H5" s="15" t="inlineStr">
        <is>
          <t>Dalam dokumen pembangunan terdapat target-target prioritas yang relevan dengan tujuan pembangunan WBK/WBBM</t>
        </is>
      </c>
      <c r="I5" s="15" t="inlineStr">
        <is>
          <t>B</t>
        </is>
      </c>
      <c r="J5" s="15" t="n">
        <v>0.5</v>
      </c>
      <c r="K5" s="49" t="n"/>
      <c r="L5" s="15" t="inlineStr">
        <is>
          <t>Belum ada evidence tahun 2025</t>
        </is>
      </c>
      <c r="M5" s="15" t="inlineStr">
        <is>
          <t>—</t>
        </is>
      </c>
      <c r="N5" s="15" t="inlineStr">
        <is>
          <t>—</t>
        </is>
      </c>
      <c r="O5" s="15" t="inlineStr">
        <is>
          <t>—</t>
        </is>
      </c>
      <c r="P5" s="15" t="n"/>
      <c r="Q5" s="36" t="inlineStr">
        <is>
          <t>https://drive.google.com/drive/folders/1Soofqpin-xpZFCfl3sVumnauZJNg8K1X</t>
        </is>
      </c>
      <c r="R5" s="15" t="n">
        <v>10</v>
      </c>
    </row>
    <row r="6">
      <c r="A6" s="15" t="inlineStr">
        <is>
          <t>Kantah Kabupaten Gorontalo</t>
        </is>
      </c>
      <c r="B6" s="15" t="inlineStr">
        <is>
          <t>PENGUNGKIT</t>
        </is>
      </c>
      <c r="C6" s="15" t="inlineStr">
        <is>
          <t>1</t>
        </is>
      </c>
      <c r="D6" s="15" t="inlineStr">
        <is>
          <t>MANAJEMEN PERUBAHAN</t>
        </is>
      </c>
      <c r="E6" s="15" t="inlineStr">
        <is>
          <t>ii</t>
        </is>
      </c>
      <c r="F6" s="15" t="inlineStr">
        <is>
          <t>Rencana Pembangunan Zona Integritas</t>
        </is>
      </c>
      <c r="G6" s="15" t="inlineStr">
        <is>
          <t>A.1.ii.c</t>
        </is>
      </c>
      <c r="H6" s="15" t="inlineStr">
        <is>
          <t>Terdapat mekanisme atau media untuk mensosialisasikan pembangunan WBK/WBBM</t>
        </is>
      </c>
      <c r="I6" s="15" t="inlineStr">
        <is>
          <t>B</t>
        </is>
      </c>
      <c r="J6" s="15" t="n">
        <v>0.5</v>
      </c>
      <c r="K6" s="49" t="n"/>
      <c r="L6" s="15" t="inlineStr">
        <is>
          <t>Belum ada evidence tahun 2025</t>
        </is>
      </c>
      <c r="M6" s="15" t="inlineStr">
        <is>
          <t>—</t>
        </is>
      </c>
      <c r="N6" s="15" t="inlineStr">
        <is>
          <t>—</t>
        </is>
      </c>
      <c r="O6" s="15" t="inlineStr">
        <is>
          <t>—</t>
        </is>
      </c>
      <c r="P6" s="15" t="n"/>
      <c r="Q6" s="36" t="inlineStr">
        <is>
          <t>https://drive.google.com/drive/folders/1BCOZnAXsj_NaFRGr2FFxMD3VAUOW3K3M</t>
        </is>
      </c>
      <c r="R6" s="15" t="n">
        <v>11</v>
      </c>
    </row>
    <row r="7">
      <c r="A7" s="15" t="inlineStr">
        <is>
          <t>Kantah Kabupaten Gorontalo</t>
        </is>
      </c>
      <c r="B7" s="15" t="inlineStr">
        <is>
          <t>PENGUNGKIT</t>
        </is>
      </c>
      <c r="C7" s="15" t="inlineStr">
        <is>
          <t>1</t>
        </is>
      </c>
      <c r="D7" s="15" t="inlineStr">
        <is>
          <t>MANAJEMEN PERUBAHAN</t>
        </is>
      </c>
      <c r="E7" s="15" t="inlineStr">
        <is>
          <t>iii</t>
        </is>
      </c>
      <c r="F7" s="15" t="inlineStr">
        <is>
          <t>Pemantauan dan Evaluasi Pembangunan WBK/WBBM</t>
        </is>
      </c>
      <c r="G7" s="15" t="inlineStr">
        <is>
          <t>A.1.iii.a</t>
        </is>
      </c>
      <c r="H7" s="15" t="inlineStr">
        <is>
          <t>Seluruh kegiatan pembangunan sudah dilaksanakan sesuai dengan rencana</t>
        </is>
      </c>
      <c r="I7" s="15" t="inlineStr">
        <is>
          <t>B</t>
        </is>
      </c>
      <c r="J7" s="15" t="n">
        <v>0.67</v>
      </c>
      <c r="K7" s="49" t="n"/>
      <c r="L7" s="15" t="inlineStr">
        <is>
          <t>Belum ada evidence tahun 2025</t>
        </is>
      </c>
      <c r="M7" s="15" t="inlineStr">
        <is>
          <t>—</t>
        </is>
      </c>
      <c r="N7" s="15" t="inlineStr">
        <is>
          <t>—</t>
        </is>
      </c>
      <c r="O7" s="15" t="inlineStr">
        <is>
          <t>—</t>
        </is>
      </c>
      <c r="P7" s="15" t="n"/>
      <c r="Q7" s="36" t="inlineStr">
        <is>
          <t>https://drive.google.com/drive/folders/1NxoVHvgD_pluHTC7VDnT8t07k5BFQ-QG</t>
        </is>
      </c>
      <c r="R7" s="15" t="n">
        <v>13</v>
      </c>
    </row>
    <row r="8">
      <c r="A8" s="15" t="inlineStr">
        <is>
          <t>Kantah Kabupaten Gorontalo</t>
        </is>
      </c>
      <c r="B8" s="15" t="inlineStr">
        <is>
          <t>PENGUNGKIT</t>
        </is>
      </c>
      <c r="C8" s="15" t="inlineStr">
        <is>
          <t>1</t>
        </is>
      </c>
      <c r="D8" s="15" t="inlineStr">
        <is>
          <t>MANAJEMEN PERUBAHAN</t>
        </is>
      </c>
      <c r="E8" s="15" t="inlineStr">
        <is>
          <t>iii</t>
        </is>
      </c>
      <c r="F8" s="15" t="inlineStr">
        <is>
          <t>Pemantauan dan Evaluasi Pembangunan WBK/WBBM</t>
        </is>
      </c>
      <c r="G8" s="15" t="inlineStr">
        <is>
          <t>A.1.iii.b</t>
        </is>
      </c>
      <c r="H8" s="15" t="inlineStr">
        <is>
          <t>Terdapat monitoring dan evaluasi terhadap pembangunan Zona Integritas</t>
        </is>
      </c>
      <c r="I8" s="15" t="inlineStr">
        <is>
          <t>B</t>
        </is>
      </c>
      <c r="J8" s="15" t="n">
        <v>0.67</v>
      </c>
      <c r="K8" s="49" t="n"/>
      <c r="L8" s="15" t="inlineStr">
        <is>
          <t>Belum ada evidence tahun 2025</t>
        </is>
      </c>
      <c r="M8" s="15" t="inlineStr">
        <is>
          <t>—</t>
        </is>
      </c>
      <c r="N8" s="15" t="inlineStr">
        <is>
          <t>—</t>
        </is>
      </c>
      <c r="O8" s="15" t="inlineStr">
        <is>
          <t>—</t>
        </is>
      </c>
      <c r="P8" s="15" t="n"/>
      <c r="Q8" s="36" t="inlineStr">
        <is>
          <t>https://drive.google.com/drive/folders/1OFRWjSjBrjFscq9vQsK9LfQPLT8OhaWw</t>
        </is>
      </c>
      <c r="R8" s="15" t="n">
        <v>14</v>
      </c>
    </row>
    <row r="9">
      <c r="A9" s="15" t="inlineStr">
        <is>
          <t>Kantah Kabupaten Gorontalo</t>
        </is>
      </c>
      <c r="B9" s="15" t="inlineStr">
        <is>
          <t>PENGUNGKIT</t>
        </is>
      </c>
      <c r="C9" s="15" t="inlineStr">
        <is>
          <t>1</t>
        </is>
      </c>
      <c r="D9" s="15" t="inlineStr">
        <is>
          <t>MANAJEMEN PERUBAHAN</t>
        </is>
      </c>
      <c r="E9" s="15" t="inlineStr">
        <is>
          <t>iii</t>
        </is>
      </c>
      <c r="F9" s="15" t="inlineStr">
        <is>
          <t>Pemantauan dan Evaluasi Pembangunan WBK/WBBM</t>
        </is>
      </c>
      <c r="G9" s="15" t="inlineStr">
        <is>
          <t>A.1.iii.c</t>
        </is>
      </c>
      <c r="H9" s="15" t="inlineStr">
        <is>
          <t>Hasil Monitoring dan Evaluasi telah ditindaklanjuti</t>
        </is>
      </c>
      <c r="I9" s="15" t="inlineStr">
        <is>
          <t>B</t>
        </is>
      </c>
      <c r="J9" s="15" t="n">
        <v>0.67</v>
      </c>
      <c r="K9" s="49" t="n"/>
      <c r="L9" s="15" t="inlineStr">
        <is>
          <t>Isi uraian evidence , evidence 2025 belum ada</t>
        </is>
      </c>
      <c r="M9" s="15" t="inlineStr">
        <is>
          <t>—</t>
        </is>
      </c>
      <c r="N9" s="15" t="inlineStr">
        <is>
          <t>—</t>
        </is>
      </c>
      <c r="O9" s="15" t="inlineStr">
        <is>
          <t>—</t>
        </is>
      </c>
      <c r="P9" s="15" t="n"/>
      <c r="Q9" s="36" t="inlineStr">
        <is>
          <t>https://drive.google.com/drive/folders/1xCQGEfrGQrmFCHENH9lpC1sXQsAGAXsy</t>
        </is>
      </c>
      <c r="R9" s="15" t="n">
        <v>15</v>
      </c>
    </row>
    <row r="10">
      <c r="A10" s="15" t="inlineStr">
        <is>
          <t>Kantah Kabupaten Gorontalo</t>
        </is>
      </c>
      <c r="B10" s="15" t="inlineStr">
        <is>
          <t>PENGUNGKIT</t>
        </is>
      </c>
      <c r="C10" s="15" t="inlineStr">
        <is>
          <t>1</t>
        </is>
      </c>
      <c r="D10" s="15" t="inlineStr">
        <is>
          <t>MANAJEMEN PERUBAHAN</t>
        </is>
      </c>
      <c r="E10" s="15" t="inlineStr">
        <is>
          <t>iv</t>
        </is>
      </c>
      <c r="F10" s="15" t="inlineStr">
        <is>
          <t>Perubahan pola pikir dan budaya kerja</t>
        </is>
      </c>
      <c r="G10" s="15" t="inlineStr">
        <is>
          <t>A.1.iv.a</t>
        </is>
      </c>
      <c r="H10" s="15" t="inlineStr">
        <is>
          <t>Pimpinan berperan sebagai role model dalam pelaksanaan Pembangunan WBK/WBBM</t>
        </is>
      </c>
      <c r="I10" s="15" t="inlineStr">
        <is>
          <t>Ya</t>
        </is>
      </c>
      <c r="J10" s="15" t="n">
        <v>1</v>
      </c>
      <c r="K10" s="49" t="n"/>
      <c r="L10" s="15" t="inlineStr">
        <is>
          <t>Evidence belum ada 2025</t>
        </is>
      </c>
      <c r="M10" s="15" t="inlineStr">
        <is>
          <t>—</t>
        </is>
      </c>
      <c r="N10" s="15" t="inlineStr">
        <is>
          <t>—</t>
        </is>
      </c>
      <c r="O10" s="15" t="inlineStr">
        <is>
          <t>—</t>
        </is>
      </c>
      <c r="P10" s="15" t="n"/>
      <c r="Q10" s="36" t="inlineStr">
        <is>
          <t>https://drive.google.com/drive/folders/1-0EFVL2GitmA9pwmd0hamZuBGi38l7U4</t>
        </is>
      </c>
      <c r="R10" s="15" t="n">
        <v>17</v>
      </c>
    </row>
    <row r="11">
      <c r="A11" s="15" t="inlineStr">
        <is>
          <t>Kantah Kabupaten Gorontalo</t>
        </is>
      </c>
      <c r="B11" s="15" t="inlineStr">
        <is>
          <t>PENGUNGKIT</t>
        </is>
      </c>
      <c r="C11" s="15" t="inlineStr">
        <is>
          <t>1</t>
        </is>
      </c>
      <c r="D11" s="15" t="inlineStr">
        <is>
          <t>MANAJEMEN PERUBAHAN</t>
        </is>
      </c>
      <c r="E11" s="15" t="inlineStr">
        <is>
          <t>iv</t>
        </is>
      </c>
      <c r="F11" s="15" t="inlineStr">
        <is>
          <t>Perubahan pola pikir dan budaya kerja</t>
        </is>
      </c>
      <c r="G11" s="15" t="inlineStr">
        <is>
          <t>A.1.iv.b</t>
        </is>
      </c>
      <c r="H11" s="15" t="inlineStr">
        <is>
          <t>Sudah ditetapkan agen perubahan</t>
        </is>
      </c>
      <c r="I11" s="15" t="inlineStr">
        <is>
          <t>B</t>
        </is>
      </c>
      <c r="J11" s="15" t="n">
        <v>0.5</v>
      </c>
      <c r="K11" s="49" t="n"/>
      <c r="L11" s="15" t="inlineStr">
        <is>
          <t>Belum ada penetapan Agen Perubahan 2025 - 2026</t>
        </is>
      </c>
      <c r="M11" s="15" t="inlineStr">
        <is>
          <t>—</t>
        </is>
      </c>
      <c r="N11" s="15" t="inlineStr">
        <is>
          <t>—</t>
        </is>
      </c>
      <c r="O11" s="15" t="inlineStr">
        <is>
          <t>—</t>
        </is>
      </c>
      <c r="P11" s="15" t="n"/>
      <c r="Q11" s="36" t="inlineStr">
        <is>
          <t>https://drive.google.com/drive/folders/15ZSHAYgymJxsTX6KaCzfjw4QtgcAznf8?usp=sharing</t>
        </is>
      </c>
      <c r="R11" s="15" t="n">
        <v>18</v>
      </c>
    </row>
    <row r="12">
      <c r="A12" s="15" t="inlineStr">
        <is>
          <t>Kantah Kabupaten Gorontalo</t>
        </is>
      </c>
      <c r="B12" s="15" t="inlineStr">
        <is>
          <t>PENGUNGKIT</t>
        </is>
      </c>
      <c r="C12" s="15" t="inlineStr">
        <is>
          <t>1</t>
        </is>
      </c>
      <c r="D12" s="15" t="inlineStr">
        <is>
          <t>MANAJEMEN PERUBAHAN</t>
        </is>
      </c>
      <c r="E12" s="15" t="inlineStr">
        <is>
          <t>iv</t>
        </is>
      </c>
      <c r="F12" s="15" t="inlineStr">
        <is>
          <t>Perubahan pola pikir dan budaya kerja</t>
        </is>
      </c>
      <c r="G12" s="15" t="inlineStr">
        <is>
          <t>A.1.iv.c</t>
        </is>
      </c>
      <c r="H12" s="15" t="inlineStr">
        <is>
          <t>Telah dibangun budaya kerja dan pola pikir di lingkungan organisasi</t>
        </is>
      </c>
      <c r="I12" s="15" t="inlineStr">
        <is>
          <t>B</t>
        </is>
      </c>
      <c r="J12" s="15" t="n">
        <v>0.5</v>
      </c>
      <c r="K12" s="49" t="n"/>
      <c r="L12" s="15" t="inlineStr">
        <is>
          <t>belum ada evidence 2025</t>
        </is>
      </c>
      <c r="M12" s="15" t="inlineStr">
        <is>
          <t>—</t>
        </is>
      </c>
      <c r="N12" s="15" t="inlineStr">
        <is>
          <t>—</t>
        </is>
      </c>
      <c r="O12" s="15" t="inlineStr">
        <is>
          <t>—</t>
        </is>
      </c>
      <c r="P12" s="15" t="n"/>
      <c r="Q12" s="36" t="inlineStr">
        <is>
          <t>https://drive.google.com/drive/folders/1dNOTekTSjFGqhzBGSHzUW9PgnPj9y8tE</t>
        </is>
      </c>
      <c r="R12" s="15" t="n">
        <v>19</v>
      </c>
    </row>
    <row r="13">
      <c r="A13" s="15" t="inlineStr">
        <is>
          <t>Kantah Kabupaten Gorontalo</t>
        </is>
      </c>
      <c r="B13" s="15" t="inlineStr">
        <is>
          <t>PENGUNGKIT</t>
        </is>
      </c>
      <c r="C13" s="15" t="inlineStr">
        <is>
          <t>1</t>
        </is>
      </c>
      <c r="D13" s="15" t="inlineStr">
        <is>
          <t>MANAJEMEN PERUBAHAN</t>
        </is>
      </c>
      <c r="E13" s="15" t="inlineStr">
        <is>
          <t>iv</t>
        </is>
      </c>
      <c r="F13" s="15" t="inlineStr">
        <is>
          <t>Perubahan pola pikir dan budaya kerja</t>
        </is>
      </c>
      <c r="G13" s="15" t="inlineStr">
        <is>
          <t>A.1.iv.d</t>
        </is>
      </c>
      <c r="H13" s="15" t="inlineStr">
        <is>
          <t>Anggota organisasi terlibat dalam pembangunan Zona Integritas menuju WBK/WBBM</t>
        </is>
      </c>
      <c r="I13" s="15" t="inlineStr">
        <is>
          <t>B</t>
        </is>
      </c>
      <c r="J13" s="15" t="n">
        <v>0.67</v>
      </c>
      <c r="K13" s="49" t="n"/>
      <c r="L13" s="15" t="inlineStr">
        <is>
          <t>belum ada 2025</t>
        </is>
      </c>
      <c r="M13" s="15" t="inlineStr">
        <is>
          <t>—</t>
        </is>
      </c>
      <c r="N13" s="15" t="inlineStr">
        <is>
          <t>—</t>
        </is>
      </c>
      <c r="O13" s="15" t="inlineStr">
        <is>
          <t>—</t>
        </is>
      </c>
      <c r="P13" s="15" t="n"/>
      <c r="Q13" s="36" t="inlineStr">
        <is>
          <t>https://drive.google.com/drive/folders/1QP7oS6rInecNcyr9VvyJLRR1IdMbhF_7?usp=sharing</t>
        </is>
      </c>
      <c r="R13" s="15" t="n">
        <v>20</v>
      </c>
    </row>
    <row r="14">
      <c r="A14" s="15" t="inlineStr">
        <is>
          <t>Kantah Kabupaten Gorontalo</t>
        </is>
      </c>
      <c r="B14" s="15" t="inlineStr">
        <is>
          <t>PENGUNGKIT</t>
        </is>
      </c>
      <c r="C14" s="15" t="inlineStr">
        <is>
          <t>2</t>
        </is>
      </c>
      <c r="D14" s="15" t="inlineStr">
        <is>
          <t>PENATAAN TATALAKSANA</t>
        </is>
      </c>
      <c r="E14" s="15" t="inlineStr">
        <is>
          <t>i</t>
        </is>
      </c>
      <c r="F14" s="15" t="inlineStr">
        <is>
          <t>Prosedur Operasional Tetap (SOP) Kegiatan Utama</t>
        </is>
      </c>
      <c r="G14" s="15" t="inlineStr">
        <is>
          <t>A.2.i.a</t>
        </is>
      </c>
      <c r="H14" s="15" t="inlineStr">
        <is>
          <t>SOP mengacu pada peta proses bisnis instansi</t>
        </is>
      </c>
      <c r="I14" s="15" t="inlineStr">
        <is>
          <t>B</t>
        </is>
      </c>
      <c r="J14" s="15" t="n">
        <v>0.67</v>
      </c>
      <c r="K14" s="49" t="n"/>
      <c r="L14" s="15" t="inlineStr">
        <is>
          <t xml:space="preserve">
- Folder Monev Layanan masih kosong</t>
        </is>
      </c>
      <c r="M14" s="15" t="inlineStr">
        <is>
          <t>—</t>
        </is>
      </c>
      <c r="N14" s="15" t="inlineStr">
        <is>
          <t>—</t>
        </is>
      </c>
      <c r="O14" s="15" t="inlineStr">
        <is>
          <t>—</t>
        </is>
      </c>
      <c r="P14" s="15" t="n"/>
      <c r="Q14" s="36" t="inlineStr">
        <is>
          <t>https://drive.google.com/drive/folders/16kQZal62HcQzELSoOJqwDsmm0h2TWTcY</t>
        </is>
      </c>
      <c r="R14" s="15" t="n">
        <v>23</v>
      </c>
    </row>
    <row r="15">
      <c r="A15" s="15" t="inlineStr">
        <is>
          <t>Kantah Kabupaten Gorontalo</t>
        </is>
      </c>
      <c r="B15" s="15" t="inlineStr">
        <is>
          <t>PENGUNGKIT</t>
        </is>
      </c>
      <c r="C15" s="15" t="inlineStr">
        <is>
          <t>2</t>
        </is>
      </c>
      <c r="D15" s="15" t="inlineStr">
        <is>
          <t>PENATAAN TATALAKSANA</t>
        </is>
      </c>
      <c r="E15" s="15" t="inlineStr">
        <is>
          <t>i</t>
        </is>
      </c>
      <c r="F15" s="15" t="inlineStr">
        <is>
          <t>Prosedur Operasional Tetap (SOP) Kegiatan Utama</t>
        </is>
      </c>
      <c r="G15" s="15" t="inlineStr">
        <is>
          <t>A.2.i.b</t>
        </is>
      </c>
      <c r="H15" s="15" t="inlineStr">
        <is>
          <t>Prosedur operasional tetap (SOP) telah diterapkan</t>
        </is>
      </c>
      <c r="I15" s="15" t="inlineStr">
        <is>
          <t>A</t>
        </is>
      </c>
      <c r="J15" s="15" t="n">
        <v>1</v>
      </c>
      <c r="K15" s="49" t="n"/>
      <c r="L15" s="15" t="n"/>
      <c r="M15" s="15" t="inlineStr">
        <is>
          <t>—</t>
        </is>
      </c>
      <c r="N15" s="15" t="inlineStr">
        <is>
          <t>—</t>
        </is>
      </c>
      <c r="O15" s="15" t="inlineStr">
        <is>
          <t>—</t>
        </is>
      </c>
      <c r="P15" s="15" t="n"/>
      <c r="Q15" s="36" t="inlineStr">
        <is>
          <t>https://drive.google.com/drive/folders/1wB5GZagympLlTZlueZTK7clhylQ2xPjU</t>
        </is>
      </c>
      <c r="R15" s="15" t="n">
        <v>24</v>
      </c>
    </row>
    <row r="16">
      <c r="A16" s="15" t="inlineStr">
        <is>
          <t>Kantah Kabupaten Gorontalo</t>
        </is>
      </c>
      <c r="B16" s="15" t="inlineStr">
        <is>
          <t>PENGUNGKIT</t>
        </is>
      </c>
      <c r="C16" s="15" t="inlineStr">
        <is>
          <t>2</t>
        </is>
      </c>
      <c r="D16" s="15" t="inlineStr">
        <is>
          <t>PENATAAN TATALAKSANA</t>
        </is>
      </c>
      <c r="E16" s="15" t="inlineStr">
        <is>
          <t>i</t>
        </is>
      </c>
      <c r="F16" s="15" t="inlineStr">
        <is>
          <t>Prosedur Operasional Tetap (SOP) Kegiatan Utama</t>
        </is>
      </c>
      <c r="G16" s="15" t="inlineStr">
        <is>
          <t>A.2.i.c</t>
        </is>
      </c>
      <c r="H16" s="15" t="inlineStr">
        <is>
          <t>Prosedur operasional tetap (SOP) telah dievaluasi</t>
        </is>
      </c>
      <c r="I16" s="15" t="inlineStr">
        <is>
          <t>C</t>
        </is>
      </c>
      <c r="J16" s="15" t="n">
        <v>0.5</v>
      </c>
      <c r="K16" s="49" t="n"/>
      <c r="L16" s="15" t="inlineStr">
        <is>
          <t xml:space="preserve">
- Laporan tindak lanjut hasil evaluasi belum diupload</t>
        </is>
      </c>
      <c r="M16" s="15" t="inlineStr">
        <is>
          <t>—</t>
        </is>
      </c>
      <c r="N16" s="15" t="inlineStr">
        <is>
          <t>—</t>
        </is>
      </c>
      <c r="O16" s="15" t="inlineStr">
        <is>
          <t>—</t>
        </is>
      </c>
      <c r="P16" s="15" t="n"/>
      <c r="Q16" s="36" t="inlineStr">
        <is>
          <t>https://drive.google.com/drive/folders/1vzz6pWXA_FmvN8QwSnT--0P3JXo_7kOZ</t>
        </is>
      </c>
      <c r="R16" s="15" t="n">
        <v>25</v>
      </c>
    </row>
    <row r="17">
      <c r="A17" s="15" t="inlineStr">
        <is>
          <t>Kantah Kabupaten Gorontalo</t>
        </is>
      </c>
      <c r="B17" s="15" t="inlineStr">
        <is>
          <t>PENGUNGKIT</t>
        </is>
      </c>
      <c r="C17" s="15" t="inlineStr">
        <is>
          <t>2</t>
        </is>
      </c>
      <c r="D17" s="15" t="inlineStr">
        <is>
          <t>PENATAAN TATALAKSANA</t>
        </is>
      </c>
      <c r="E17" s="15" t="inlineStr">
        <is>
          <t>ii</t>
        </is>
      </c>
      <c r="F17" s="15" t="inlineStr">
        <is>
          <t>Sistem Pemerintahan Berbasis Elektronik (SPBE)</t>
        </is>
      </c>
      <c r="G17" s="15" t="inlineStr">
        <is>
          <t>A.2.ii.a</t>
        </is>
      </c>
      <c r="H17" s="15" t="inlineStr">
        <is>
          <t>Sistem pengukuran kinerja unit sudah menggunakan teknologi informasi</t>
        </is>
      </c>
      <c r="I17" s="15" t="inlineStr">
        <is>
          <t>B</t>
        </is>
      </c>
      <c r="J17" s="15" t="n">
        <v>0.5</v>
      </c>
      <c r="K17" s="49" t="n"/>
      <c r="L17" s="15" t="inlineStr">
        <is>
          <t xml:space="preserve">- Absensi Fingerprint belum diupload
- inovasi aplikasi yang ada belum diupload
</t>
        </is>
      </c>
      <c r="M17" s="15" t="inlineStr">
        <is>
          <t>—</t>
        </is>
      </c>
      <c r="N17" s="15" t="inlineStr">
        <is>
          <t>—</t>
        </is>
      </c>
      <c r="O17" s="15" t="inlineStr">
        <is>
          <t>—</t>
        </is>
      </c>
      <c r="P17" s="15" t="n"/>
      <c r="Q17" s="36" t="inlineStr">
        <is>
          <t>ii. a. Sistem pengukuran kinerja unit sudah menggunakan teknologi informasi</t>
        </is>
      </c>
      <c r="R17" s="15" t="n">
        <v>27</v>
      </c>
    </row>
    <row r="18">
      <c r="A18" s="15" t="inlineStr">
        <is>
          <t>Kantah Kabupaten Gorontalo</t>
        </is>
      </c>
      <c r="B18" s="15" t="inlineStr">
        <is>
          <t>PENGUNGKIT</t>
        </is>
      </c>
      <c r="C18" s="15" t="inlineStr">
        <is>
          <t>2</t>
        </is>
      </c>
      <c r="D18" s="15" t="inlineStr">
        <is>
          <t>PENATAAN TATALAKSANA</t>
        </is>
      </c>
      <c r="E18" s="15" t="inlineStr">
        <is>
          <t>ii</t>
        </is>
      </c>
      <c r="F18" s="15" t="inlineStr">
        <is>
          <t>Sistem Pemerintahan Berbasis Elektronik (SPBE)</t>
        </is>
      </c>
      <c r="G18" s="15" t="inlineStr">
        <is>
          <t>A.2.ii.b</t>
        </is>
      </c>
      <c r="H18" s="15" t="inlineStr">
        <is>
          <t>Operasionalisasi manajemen SDM sudah menggunakan teknologi informasi</t>
        </is>
      </c>
      <c r="I18" s="15" t="inlineStr">
        <is>
          <t>A</t>
        </is>
      </c>
      <c r="J18" s="15" t="n">
        <v>1</v>
      </c>
      <c r="K18" s="49" t="n"/>
      <c r="L18" s="15" t="n"/>
      <c r="M18" s="15" t="inlineStr">
        <is>
          <t>—</t>
        </is>
      </c>
      <c r="N18" s="15" t="inlineStr">
        <is>
          <t>—</t>
        </is>
      </c>
      <c r="O18" s="15" t="inlineStr">
        <is>
          <t>—</t>
        </is>
      </c>
      <c r="P18" s="15" t="n"/>
      <c r="Q18" s="36" t="inlineStr">
        <is>
          <t>https://drive.google.com/drive/folders/1JQedP6XgrafY4FoBKZDxRHtRLbgaJZos</t>
        </is>
      </c>
      <c r="R18" s="15" t="n">
        <v>28</v>
      </c>
    </row>
    <row r="19">
      <c r="A19" s="15" t="inlineStr">
        <is>
          <t>Kantah Kabupaten Gorontalo</t>
        </is>
      </c>
      <c r="B19" s="15" t="inlineStr">
        <is>
          <t>PENGUNGKIT</t>
        </is>
      </c>
      <c r="C19" s="15" t="inlineStr">
        <is>
          <t>2</t>
        </is>
      </c>
      <c r="D19" s="15" t="inlineStr">
        <is>
          <t>PENATAAN TATALAKSANA</t>
        </is>
      </c>
      <c r="E19" s="15" t="inlineStr">
        <is>
          <t>ii</t>
        </is>
      </c>
      <c r="F19" s="15" t="inlineStr">
        <is>
          <t>Sistem Pemerintahan Berbasis Elektronik (SPBE)</t>
        </is>
      </c>
      <c r="G19" s="15" t="inlineStr">
        <is>
          <t>A.2.ii.c</t>
        </is>
      </c>
      <c r="H19" s="15" t="inlineStr">
        <is>
          <t>Pemberian pelayanan kepada publik sudah menggunakan teknologi informasi</t>
        </is>
      </c>
      <c r="I19" s="15" t="inlineStr">
        <is>
          <t>B</t>
        </is>
      </c>
      <c r="J19" s="15" t="n">
        <v>0.5</v>
      </c>
      <c r="K19" s="49" t="n"/>
      <c r="L19" s="15" t="inlineStr">
        <is>
          <t xml:space="preserve">- inovasi aplikasi yang ada belum diupload
</t>
        </is>
      </c>
      <c r="M19" s="15" t="inlineStr">
        <is>
          <t>—</t>
        </is>
      </c>
      <c r="N19" s="15" t="inlineStr">
        <is>
          <t>—</t>
        </is>
      </c>
      <c r="O19" s="15" t="inlineStr">
        <is>
          <t>—</t>
        </is>
      </c>
      <c r="P19" s="15" t="n"/>
      <c r="Q19" s="36" t="inlineStr">
        <is>
          <t>https://drive.google.com/drive/folders/1BjHaPYl96KzGy56lGuobDR6fqro8Do3b</t>
        </is>
      </c>
      <c r="R19" s="15" t="n">
        <v>29</v>
      </c>
    </row>
    <row r="20">
      <c r="A20" s="15" t="inlineStr">
        <is>
          <t>Kantah Kabupaten Gorontalo</t>
        </is>
      </c>
      <c r="B20" s="15" t="inlineStr">
        <is>
          <t>PENGUNGKIT</t>
        </is>
      </c>
      <c r="C20" s="15" t="inlineStr">
        <is>
          <t>2</t>
        </is>
      </c>
      <c r="D20" s="15" t="inlineStr">
        <is>
          <t>PENATAAN TATALAKSANA</t>
        </is>
      </c>
      <c r="E20" s="15" t="inlineStr">
        <is>
          <t>ii</t>
        </is>
      </c>
      <c r="F20" s="15" t="inlineStr">
        <is>
          <t>Sistem Pemerintahan Berbasis Elektronik (SPBE)</t>
        </is>
      </c>
      <c r="G20" s="15" t="inlineStr">
        <is>
          <t>A.2.ii.d</t>
        </is>
      </c>
      <c r="H20" s="15" t="inlineStr">
        <is>
          <t>Telah dilakukan monitoring dan dan evaluasi terhadap pemanfaatan teknologi informasi dalam pengukuran kinerja unit, operasionalisasi SDM, dan pemberian layanan kepada publik</t>
        </is>
      </c>
      <c r="I20" s="15" t="inlineStr">
        <is>
          <t>B</t>
        </is>
      </c>
      <c r="J20" s="15" t="n">
        <v>0.5</v>
      </c>
      <c r="K20" s="49" t="n"/>
      <c r="L20" s="15" t="inlineStr">
        <is>
          <t xml:space="preserve">- Laporan Monitoring dan Evaluasi terkait teknologi aplikasi layanan belum diupload
- Laporan IKM belum dibuat secara periodik
</t>
        </is>
      </c>
      <c r="M20" s="15" t="inlineStr">
        <is>
          <t>—</t>
        </is>
      </c>
      <c r="N20" s="15" t="inlineStr">
        <is>
          <t>—</t>
        </is>
      </c>
      <c r="O20" s="15" t="inlineStr">
        <is>
          <t>—</t>
        </is>
      </c>
      <c r="P20" s="15" t="n"/>
      <c r="Q20" s="36" t="inlineStr">
        <is>
          <t>https://drive.google.com/drive/folders/1Lhp_xEug90r9-jLogqp0OPVRZbAbyGZh</t>
        </is>
      </c>
      <c r="R20" s="15" t="n">
        <v>30</v>
      </c>
    </row>
    <row r="21">
      <c r="A21" s="15" t="inlineStr">
        <is>
          <t>Kantah Kabupaten Gorontalo</t>
        </is>
      </c>
      <c r="B21" s="15" t="inlineStr">
        <is>
          <t>PENGUNGKIT</t>
        </is>
      </c>
      <c r="C21" s="15" t="inlineStr">
        <is>
          <t>2</t>
        </is>
      </c>
      <c r="D21" s="15" t="inlineStr">
        <is>
          <t>PENATAAN TATALAKSANA</t>
        </is>
      </c>
      <c r="E21" s="15" t="inlineStr">
        <is>
          <t>iii</t>
        </is>
      </c>
      <c r="F21" s="15" t="inlineStr">
        <is>
          <t>Keterbukaan Informasi Publik</t>
        </is>
      </c>
      <c r="G21" s="15" t="inlineStr">
        <is>
          <t>A.2.iii.a</t>
        </is>
      </c>
      <c r="H21" s="15" t="inlineStr">
        <is>
          <t>Kebijakan tentang  keterbukaan informasi publik telah diterapkan</t>
        </is>
      </c>
      <c r="I21" s="15" t="inlineStr">
        <is>
          <t>A</t>
        </is>
      </c>
      <c r="J21" s="15" t="n">
        <v>1</v>
      </c>
      <c r="K21" s="49" t="n"/>
      <c r="L21" s="15" t="n"/>
      <c r="M21" s="15" t="inlineStr">
        <is>
          <t>—</t>
        </is>
      </c>
      <c r="N21" s="15" t="inlineStr">
        <is>
          <t>—</t>
        </is>
      </c>
      <c r="O21" s="15" t="inlineStr">
        <is>
          <t>—</t>
        </is>
      </c>
      <c r="P21" s="15" t="n"/>
      <c r="Q21" s="36" t="inlineStr">
        <is>
          <t>https://drive.google.com/drive/folders/1UkBXMqN-hVghI3KocSpsOUQus192fa3P</t>
        </is>
      </c>
      <c r="R21" s="15" t="n">
        <v>32</v>
      </c>
    </row>
    <row r="22">
      <c r="A22" s="15" t="inlineStr">
        <is>
          <t>Kantah Kabupaten Gorontalo</t>
        </is>
      </c>
      <c r="B22" s="15" t="inlineStr">
        <is>
          <t>PENGUNGKIT</t>
        </is>
      </c>
      <c r="C22" s="15" t="inlineStr">
        <is>
          <t>2</t>
        </is>
      </c>
      <c r="D22" s="15" t="inlineStr">
        <is>
          <t>PENATAAN TATALAKSANA</t>
        </is>
      </c>
      <c r="E22" s="15" t="inlineStr">
        <is>
          <t>iii</t>
        </is>
      </c>
      <c r="F22" s="15" t="inlineStr">
        <is>
          <t>Keterbukaan Informasi Publik</t>
        </is>
      </c>
      <c r="G22" s="15" t="inlineStr">
        <is>
          <t>A.2.iii.b</t>
        </is>
      </c>
      <c r="H22" s="15" t="inlineStr">
        <is>
          <t>Telah dilakukan monitoring dan evaluasi pelaksanaan kebijakan keterbukaan informasi publik</t>
        </is>
      </c>
      <c r="I22" s="15" t="inlineStr">
        <is>
          <t>B</t>
        </is>
      </c>
      <c r="J22" s="15" t="n">
        <v>0.5</v>
      </c>
      <c r="K22" s="49" t="n"/>
      <c r="L22" s="15" t="inlineStr">
        <is>
          <t>Laporan tindak lanjut hasil evaluasi belum diupload</t>
        </is>
      </c>
      <c r="M22" s="15" t="inlineStr">
        <is>
          <t>—</t>
        </is>
      </c>
      <c r="N22" s="15" t="inlineStr">
        <is>
          <t>—</t>
        </is>
      </c>
      <c r="O22" s="15" t="inlineStr">
        <is>
          <t>—</t>
        </is>
      </c>
      <c r="P22" s="15" t="n"/>
      <c r="Q22" s="36" t="inlineStr">
        <is>
          <t>https://drive.google.com/drive/folders/1HzJbYuqijjIhOi9m1Ihs0FjbDOIvomdh</t>
        </is>
      </c>
      <c r="R22" s="15" t="n">
        <v>33</v>
      </c>
    </row>
    <row r="23">
      <c r="A23" s="15" t="inlineStr">
        <is>
          <t>Kantah Kabupaten Gorontalo</t>
        </is>
      </c>
      <c r="B23" s="15" t="inlineStr">
        <is>
          <t>PENGUNGKIT</t>
        </is>
      </c>
      <c r="C23" s="15" t="inlineStr">
        <is>
          <t>3</t>
        </is>
      </c>
      <c r="D23" s="15" t="inlineStr">
        <is>
          <t>PENATAAN SISTEM MANAJEMEN SDM APARATUR</t>
        </is>
      </c>
      <c r="E23" s="15" t="inlineStr">
        <is>
          <t>i</t>
        </is>
      </c>
      <c r="F23" s="15" t="inlineStr">
        <is>
          <t>Perencanaan Kebutuhan Pegawai sesuai dengan Kebutuhan Organisasi</t>
        </is>
      </c>
      <c r="G23" s="15" t="inlineStr">
        <is>
          <t>A.3.i.a</t>
        </is>
      </c>
      <c r="H23" s="15" t="inlineStr">
        <is>
          <t>Kebutuhan pegawai yang disusun oleh unit kerja mengacu kepada peta jabatan dan hasil analisis beban kerja untuk masing-masing jabatan</t>
        </is>
      </c>
      <c r="I23" s="15" t="inlineStr">
        <is>
          <t>Ya</t>
        </is>
      </c>
      <c r="J23" s="15" t="n">
        <v>1</v>
      </c>
      <c r="K23" s="49" t="n"/>
      <c r="L23" s="15" t="inlineStr">
        <is>
          <t>Belum ada eviden diupload. Eviden diuraikan di kolom Cararan/Keterangan/Penjelasan Unit. Bisa dilampirkan:
1. ABK
2. Peta Jabatan
3.Surat Kakanwil terkait dengan penyampaian analisa kebutuhan jabatan
4. Formulir perhitungan beban kerja 
5.Dokumentasi Rapat terkait Analisis Beban Kerja (Undangan, Daftar Hadir, Foto, Notulen)
6. Laporan Rencana Kebutuhan Pegawai
7.Laporan Analisa Kebutuhan Pegawai
8. Bagan Organisasi</t>
        </is>
      </c>
      <c r="M23" s="15" t="inlineStr">
        <is>
          <t>—</t>
        </is>
      </c>
      <c r="N23" s="15" t="inlineStr">
        <is>
          <t>—</t>
        </is>
      </c>
      <c r="O23" s="15" t="inlineStr">
        <is>
          <t>—</t>
        </is>
      </c>
      <c r="P23" s="15" t="n"/>
      <c r="Q23" s="36" t="inlineStr">
        <is>
          <t>https://drive.google.com/drive/folders/1M7Vcj_XMMihfkYHp4AggE-4tXLWHBPTN</t>
        </is>
      </c>
      <c r="R23" s="15" t="n">
        <v>36</v>
      </c>
    </row>
    <row r="24">
      <c r="A24" s="15" t="inlineStr">
        <is>
          <t>Kantah Kabupaten Gorontalo</t>
        </is>
      </c>
      <c r="B24" s="15" t="inlineStr">
        <is>
          <t>PENGUNGKIT</t>
        </is>
      </c>
      <c r="C24" s="15" t="inlineStr">
        <is>
          <t>3</t>
        </is>
      </c>
      <c r="D24" s="15" t="inlineStr">
        <is>
          <t>PENATAAN SISTEM MANAJEMEN SDM APARATUR</t>
        </is>
      </c>
      <c r="E24" s="15" t="inlineStr">
        <is>
          <t>i</t>
        </is>
      </c>
      <c r="F24" s="15" t="inlineStr">
        <is>
          <t>Perencanaan Kebutuhan Pegawai sesuai dengan Kebutuhan Organisasi</t>
        </is>
      </c>
      <c r="G24" s="15" t="inlineStr">
        <is>
          <t>A.3.i.b</t>
        </is>
      </c>
      <c r="H24" s="15" t="inlineStr">
        <is>
          <t>Penempatan pegawai hasil rekrutmen murni mengacu kepada kebutuhan pegawai yang telah disusun per jabatan</t>
        </is>
      </c>
      <c r="I24" s="15" t="inlineStr">
        <is>
          <t>B</t>
        </is>
      </c>
      <c r="J24" s="15" t="n">
        <v>0.67</v>
      </c>
      <c r="K24" s="49" t="n"/>
      <c r="L24" s="15" t="inlineStr">
        <is>
          <t>Belum ada eviden diupload. Eviden diuraikan di kolom Cararan/Keterangan/Penjelasan Unit. Bisa dilampirkan:
1. ABK JFT/JFU
2. Peta Jabatan
3.Surat Kakanwil terkait dengan penyampaian analisa kebutuhan jabatan
4. Rapat Kebutuhan pegawai (undangan, daftar hadir, notulen)
5. Kontrak PPNPN 2025
6.SK penempatan PNS dan CPNS, ST pegawai dari kanwil, berita acara surat tugas</t>
        </is>
      </c>
      <c r="M24" s="15" t="inlineStr">
        <is>
          <t>—</t>
        </is>
      </c>
      <c r="N24" s="15" t="inlineStr">
        <is>
          <t>—</t>
        </is>
      </c>
      <c r="O24" s="15" t="inlineStr">
        <is>
          <t>—</t>
        </is>
      </c>
      <c r="P24" s="15" t="n"/>
      <c r="Q24" s="36" t="inlineStr">
        <is>
          <t>https://drive.google.com/drive/folders/1yRvNfcfdY3ilxGGdhpsJWiZ2uiMQ6YAN</t>
        </is>
      </c>
      <c r="R24" s="15" t="n">
        <v>37</v>
      </c>
    </row>
    <row r="25">
      <c r="A25" s="15" t="inlineStr">
        <is>
          <t>Kantah Kabupaten Gorontalo</t>
        </is>
      </c>
      <c r="B25" s="15" t="inlineStr">
        <is>
          <t>PENGUNGKIT</t>
        </is>
      </c>
      <c r="C25" s="15" t="inlineStr">
        <is>
          <t>3</t>
        </is>
      </c>
      <c r="D25" s="15" t="inlineStr">
        <is>
          <t>PENATAAN SISTEM MANAJEMEN SDM APARATUR</t>
        </is>
      </c>
      <c r="E25" s="15" t="inlineStr">
        <is>
          <t>i</t>
        </is>
      </c>
      <c r="F25" s="15" t="inlineStr">
        <is>
          <t>Perencanaan Kebutuhan Pegawai sesuai dengan Kebutuhan Organisasi</t>
        </is>
      </c>
      <c r="G25" s="15" t="inlineStr">
        <is>
          <t>A.3.i.c</t>
        </is>
      </c>
      <c r="H25" s="15" t="inlineStr">
        <is>
          <t>Telah dilakukan monitoring dan dan evaluasi terhadap penempatan pegawai rekrutmen untuk memenuhi kebutuhan jabatan dalam organisasi telah memberikan perbaikan terhadap kinerja unit kerja</t>
        </is>
      </c>
      <c r="I25" s="15" t="inlineStr">
        <is>
          <t>Tidak</t>
        </is>
      </c>
      <c r="J25" s="15" t="n">
        <v>0</v>
      </c>
      <c r="K25" s="49" t="n"/>
      <c r="L25" s="15" t="inlineStr">
        <is>
          <t xml:space="preserve">Belum ada:
1. Laporan Monev Kebutuhan Pegawai
2.Dokumentasi Rapat Evaluasi Kebutuhan Pegawai ( Undangan, Daftar Hadir, Foto, Notulen)
</t>
        </is>
      </c>
      <c r="M25" s="15" t="inlineStr">
        <is>
          <t>—</t>
        </is>
      </c>
      <c r="N25" s="15" t="inlineStr">
        <is>
          <t>—</t>
        </is>
      </c>
      <c r="O25" s="15" t="inlineStr">
        <is>
          <t>—</t>
        </is>
      </c>
      <c r="P25" s="15" t="n"/>
      <c r="Q25" s="36" t="inlineStr">
        <is>
          <t>https://drive.google.com/drive/folders/1wbQo-FCMpiZZj1hQn_RSGPDPEphjWY-c</t>
        </is>
      </c>
      <c r="R25" s="15" t="n">
        <v>38</v>
      </c>
    </row>
    <row r="26">
      <c r="A26" s="15" t="inlineStr">
        <is>
          <t>Kantah Kabupaten Gorontalo</t>
        </is>
      </c>
      <c r="B26" s="15" t="inlineStr">
        <is>
          <t>PENGUNGKIT</t>
        </is>
      </c>
      <c r="C26" s="15" t="inlineStr">
        <is>
          <t>3</t>
        </is>
      </c>
      <c r="D26" s="15" t="inlineStr">
        <is>
          <t>PENATAAN SISTEM MANAJEMEN SDM APARATUR</t>
        </is>
      </c>
      <c r="E26" s="15" t="inlineStr">
        <is>
          <t>ii</t>
        </is>
      </c>
      <c r="F26" s="15" t="inlineStr">
        <is>
          <t>Pola Mutasi Internal</t>
        </is>
      </c>
      <c r="G26" s="15" t="inlineStr">
        <is>
          <t>A.3.ii.a</t>
        </is>
      </c>
      <c r="H26" s="15" t="inlineStr">
        <is>
          <t>Dalam melakukan pengembangan karier pegawai, telah dilakukan mutasi pegawai antar jabatan</t>
        </is>
      </c>
      <c r="I26" s="15" t="inlineStr">
        <is>
          <t>Ya</t>
        </is>
      </c>
      <c r="J26" s="15" t="n">
        <v>1</v>
      </c>
      <c r="K26" s="49" t="n"/>
      <c r="L26" s="15" t="inlineStr">
        <is>
          <t xml:space="preserve">Belum ada SK Mutasi PNS
</t>
        </is>
      </c>
      <c r="M26" s="15" t="inlineStr">
        <is>
          <t>—</t>
        </is>
      </c>
      <c r="N26" s="15" t="inlineStr">
        <is>
          <t>—</t>
        </is>
      </c>
      <c r="O26" s="15" t="inlineStr">
        <is>
          <t>—</t>
        </is>
      </c>
      <c r="P26" s="15" t="n"/>
      <c r="Q26" s="36" t="inlineStr">
        <is>
          <t>https://drive.google.com/drive/folders/12S57yYiU_46m7FIJ-rp9KjZnnetQGekd?usp=drive_link</t>
        </is>
      </c>
      <c r="R26" s="15" t="n">
        <v>40</v>
      </c>
    </row>
    <row r="27">
      <c r="A27" s="15" t="inlineStr">
        <is>
          <t>Kantah Kabupaten Gorontalo</t>
        </is>
      </c>
      <c r="B27" s="15" t="inlineStr">
        <is>
          <t>PENGUNGKIT</t>
        </is>
      </c>
      <c r="C27" s="15" t="inlineStr">
        <is>
          <t>3</t>
        </is>
      </c>
      <c r="D27" s="15" t="inlineStr">
        <is>
          <t>PENATAAN SISTEM MANAJEMEN SDM APARATUR</t>
        </is>
      </c>
      <c r="E27" s="15" t="inlineStr">
        <is>
          <t>ii</t>
        </is>
      </c>
      <c r="F27" s="15" t="inlineStr">
        <is>
          <t>Pola Mutasi Internal</t>
        </is>
      </c>
      <c r="G27" s="15" t="inlineStr">
        <is>
          <t>A.3.ii.b</t>
        </is>
      </c>
      <c r="H27" s="15" t="inlineStr">
        <is>
          <t>Dalam melakukan mutasi pegawai antar jabatan telah memperhatikan kompetensi jabatan dan mengikuti pola mutasi yang telah ditetapkan</t>
        </is>
      </c>
      <c r="I27" s="15" t="inlineStr">
        <is>
          <t>B</t>
        </is>
      </c>
      <c r="J27" s="15" t="n">
        <v>0.75</v>
      </c>
      <c r="K27" s="49" t="n"/>
      <c r="L27" s="15" t="inlineStr">
        <is>
          <t>Tambahkan eviden yang lebih relevan. Bisa dilampirkan:
1. Laporan Monev Kebutuhan Pegawai
2.Dokumentasi Rapat Evaluasi Kebutuhan Pegawai ( Undangan, Daftar Hadir, Foto, Notulen)
3, SK Mutasi JFU, JFT, Pejabat struktural
4. Lampiran pengumuman KRS</t>
        </is>
      </c>
      <c r="M27" s="15" t="inlineStr">
        <is>
          <t>—</t>
        </is>
      </c>
      <c r="N27" s="15" t="inlineStr">
        <is>
          <t>—</t>
        </is>
      </c>
      <c r="O27" s="15" t="inlineStr">
        <is>
          <t>—</t>
        </is>
      </c>
      <c r="P27" s="15" t="n"/>
      <c r="Q27" s="36" t="inlineStr">
        <is>
          <t>https://drive.google.com/drive/folders/13Zh-ErS4w6uLlTdgAujOzej3ByZ_4e40?usp=drive_link</t>
        </is>
      </c>
      <c r="R27" s="15" t="n">
        <v>41</v>
      </c>
    </row>
    <row r="28">
      <c r="A28" s="15" t="inlineStr">
        <is>
          <t>Kantah Kabupaten Gorontalo</t>
        </is>
      </c>
      <c r="B28" s="15" t="inlineStr">
        <is>
          <t>PENGUNGKIT</t>
        </is>
      </c>
      <c r="C28" s="15" t="inlineStr">
        <is>
          <t>3</t>
        </is>
      </c>
      <c r="D28" s="15" t="inlineStr">
        <is>
          <t>PENATAAN SISTEM MANAJEMEN SDM APARATUR</t>
        </is>
      </c>
      <c r="E28" s="15" t="inlineStr">
        <is>
          <t>ii</t>
        </is>
      </c>
      <c r="F28" s="15" t="inlineStr">
        <is>
          <t>Pola Mutasi Internal</t>
        </is>
      </c>
      <c r="G28" s="15" t="inlineStr">
        <is>
          <t>A.3.ii.c</t>
        </is>
      </c>
      <c r="H28" s="15" t="inlineStr">
        <is>
          <t>Telah dilakukan monitoring dan evaluasi terhadap kegiatan mutasi yang telah dilakukan dalam kaitannya dengan perbaikan kinerja</t>
        </is>
      </c>
      <c r="I28" s="15" t="inlineStr">
        <is>
          <t>Ya</t>
        </is>
      </c>
      <c r="J28" s="15" t="n">
        <v>1</v>
      </c>
      <c r="K28" s="49" t="n"/>
      <c r="L28" s="15" t="inlineStr">
        <is>
          <t>Belum ada eviden diupload. Eviden diuraikan di kolom Cararan/Keterangan/Penjelasan Unit. Bisa dilampirkan:
1. SK Perpindahan JF 
2. SK Pengangkatan Pejabat Pelaksana 
3. Laporan Monev Mutasi (undangan, daftar hadir, notulen)</t>
        </is>
      </c>
      <c r="M28" s="15" t="inlineStr">
        <is>
          <t>—</t>
        </is>
      </c>
      <c r="N28" s="15" t="inlineStr">
        <is>
          <t>—</t>
        </is>
      </c>
      <c r="O28" s="15" t="inlineStr">
        <is>
          <t>—</t>
        </is>
      </c>
      <c r="P28" s="15" t="n"/>
      <c r="Q28" s="36" t="inlineStr">
        <is>
          <t>https://drive.google.com/drive/folders/1-jDJI5Sss7nNt4vSAV5ve6JhsRsRQDrE?usp=drive_link</t>
        </is>
      </c>
      <c r="R28" s="15" t="n">
        <v>42</v>
      </c>
    </row>
    <row r="29">
      <c r="A29" s="15" t="inlineStr">
        <is>
          <t>Kantah Kabupaten Gorontalo</t>
        </is>
      </c>
      <c r="B29" s="15" t="inlineStr">
        <is>
          <t>PENGUNGKIT</t>
        </is>
      </c>
      <c r="C29" s="15" t="inlineStr">
        <is>
          <t>3</t>
        </is>
      </c>
      <c r="D29" s="15" t="inlineStr">
        <is>
          <t>PENATAAN SISTEM MANAJEMEN SDM APARATUR</t>
        </is>
      </c>
      <c r="E29" s="15" t="inlineStr">
        <is>
          <t>iii</t>
        </is>
      </c>
      <c r="F29" s="15" t="inlineStr">
        <is>
          <t>Pengembangan Pegawai Berbasis Kompetensi</t>
        </is>
      </c>
      <c r="G29" s="15" t="inlineStr">
        <is>
          <t>A.3.iii.a</t>
        </is>
      </c>
      <c r="H29" s="15" t="inlineStr">
        <is>
          <t>Unit Kerja melakukan Training Need Analysis Untuk pengembangan kompetensi</t>
        </is>
      </c>
      <c r="I29" s="15" t="inlineStr">
        <is>
          <t>Tidak</t>
        </is>
      </c>
      <c r="J29" s="15" t="n">
        <v>0</v>
      </c>
      <c r="K29" s="49" t="n"/>
      <c r="L29" s="15" t="inlineStr">
        <is>
          <t>Belum ada eviden diupload. Eviden diuraikan di kolom Cararan/Keterangan/Penjelasan Unit. Bisa dilampirkan:
1. Analisis Kebutuhan
Diklat
2. Surat Tugas dan 
Sertifikat Diklat
3. Table Analisis 
Kesenjangan Kompetensi
ASN
4. Rekap pegawai
 mengikuti diklat</t>
        </is>
      </c>
      <c r="M29" s="15" t="inlineStr">
        <is>
          <t>—</t>
        </is>
      </c>
      <c r="N29" s="15" t="inlineStr">
        <is>
          <t>—</t>
        </is>
      </c>
      <c r="O29" s="15" t="inlineStr">
        <is>
          <t>—</t>
        </is>
      </c>
      <c r="P29" s="15" t="n"/>
      <c r="Q29" s="15" t="n"/>
      <c r="R29" s="15" t="n">
        <v>44</v>
      </c>
    </row>
    <row r="30">
      <c r="A30" s="15" t="inlineStr">
        <is>
          <t>Kantah Kabupaten Gorontalo</t>
        </is>
      </c>
      <c r="B30" s="15" t="inlineStr">
        <is>
          <t>PENGUNGKIT</t>
        </is>
      </c>
      <c r="C30" s="15" t="inlineStr">
        <is>
          <t>3</t>
        </is>
      </c>
      <c r="D30" s="15" t="inlineStr">
        <is>
          <t>PENATAAN SISTEM MANAJEMEN SDM APARATUR</t>
        </is>
      </c>
      <c r="E30" s="15" t="inlineStr">
        <is>
          <t>iii</t>
        </is>
      </c>
      <c r="F30" s="15" t="inlineStr">
        <is>
          <t>Pengembangan Pegawai Berbasis Kompetensi</t>
        </is>
      </c>
      <c r="G30" s="15" t="inlineStr">
        <is>
          <t>A.3.iii.b</t>
        </is>
      </c>
      <c r="H30" s="15" t="inlineStr">
        <is>
          <t>Dalam menyusun rencana pengembangan kompetensi pegawai, telah mempertimbangkan hasil pengelolaan kinerja pegawai</t>
        </is>
      </c>
      <c r="I30" s="15" t="inlineStr">
        <is>
          <t>B</t>
        </is>
      </c>
      <c r="J30" s="15" t="n">
        <v>0.67</v>
      </c>
      <c r="K30" s="49" t="n"/>
      <c r="L30" s="15" t="inlineStr">
        <is>
          <t xml:space="preserve">Kekurangan eviden:
1. Daftar Nominatif 
Penilaian Prestasi Kerja 
Pegawai (SKP)
2. Laporan Analisis 
Kebutuhan Diklat
4. Surat Tugas pemanggilan
diklat
5. Daftar diklat yang telah 
dilakukan pegawai
7. Surat Keputusan Tim
Penilai pegawai teladan
</t>
        </is>
      </c>
      <c r="M30" s="15" t="inlineStr">
        <is>
          <t>—</t>
        </is>
      </c>
      <c r="N30" s="15" t="inlineStr">
        <is>
          <t>—</t>
        </is>
      </c>
      <c r="O30" s="15" t="inlineStr">
        <is>
          <t>—</t>
        </is>
      </c>
      <c r="P30" s="15" t="n"/>
      <c r="Q30" s="36" t="inlineStr">
        <is>
          <t>https://drive.google.com/drive/folders/15K8iSKatdTcyGoXS3bHChSZwF7mw35V6?usp=drive_link</t>
        </is>
      </c>
      <c r="R30" s="15" t="n">
        <v>45</v>
      </c>
    </row>
    <row r="31">
      <c r="A31" s="15" t="inlineStr">
        <is>
          <t>Kantah Kabupaten Gorontalo</t>
        </is>
      </c>
      <c r="B31" s="15" t="inlineStr">
        <is>
          <t>PENGUNGKIT</t>
        </is>
      </c>
      <c r="C31" s="15" t="inlineStr">
        <is>
          <t>3</t>
        </is>
      </c>
      <c r="D31" s="15" t="inlineStr">
        <is>
          <t>PENATAAN SISTEM MANAJEMEN SDM APARATUR</t>
        </is>
      </c>
      <c r="E31" s="15" t="inlineStr">
        <is>
          <t>iii</t>
        </is>
      </c>
      <c r="F31" s="15" t="inlineStr">
        <is>
          <t>Pengembangan Pegawai Berbasis Kompetensi</t>
        </is>
      </c>
      <c r="G31" s="15" t="inlineStr">
        <is>
          <t>A.3.iii.c</t>
        </is>
      </c>
      <c r="H31" s="15" t="inlineStr">
        <is>
          <t>Tingkat kesenjangan kompetensi pegawai yang ada dengan standar kompetensi yang ditetapkan untuk masing-masing jabatan</t>
        </is>
      </c>
      <c r="I31" s="15" t="inlineStr">
        <is>
          <t>A</t>
        </is>
      </c>
      <c r="J31" s="15" t="n">
        <v>1</v>
      </c>
      <c r="K31" s="49" t="n"/>
      <c r="L31" s="15" t="inlineStr">
        <is>
          <t xml:space="preserve">Tambahkan Dokumen :
1. Table perbandingan
kesenjangan (GAP) 
kompetensi (IP ASN)
3. PK Kakanwil, Es 3, Es 4 dan JF
</t>
        </is>
      </c>
      <c r="M31" s="15" t="inlineStr">
        <is>
          <t>—</t>
        </is>
      </c>
      <c r="N31" s="15" t="inlineStr">
        <is>
          <t>—</t>
        </is>
      </c>
      <c r="O31" s="15" t="inlineStr">
        <is>
          <t>—</t>
        </is>
      </c>
      <c r="P31" s="15" t="n"/>
      <c r="Q31" s="36" t="inlineStr">
        <is>
          <t>https://drive.google.com/drive/folders/1czYmT5IeVlSC0hImb-2VeK-KqwBSM8Uf?usp=drive_link</t>
        </is>
      </c>
      <c r="R31" s="15" t="n">
        <v>46</v>
      </c>
    </row>
    <row r="32">
      <c r="A32" s="15" t="inlineStr">
        <is>
          <t>Kantah Kabupaten Gorontalo</t>
        </is>
      </c>
      <c r="B32" s="15" t="inlineStr">
        <is>
          <t>PENGUNGKIT</t>
        </is>
      </c>
      <c r="C32" s="15" t="inlineStr">
        <is>
          <t>3</t>
        </is>
      </c>
      <c r="D32" s="15" t="inlineStr">
        <is>
          <t>PENATAAN SISTEM MANAJEMEN SDM APARATUR</t>
        </is>
      </c>
      <c r="E32" s="15" t="inlineStr">
        <is>
          <t>iii</t>
        </is>
      </c>
      <c r="F32" s="15" t="inlineStr">
        <is>
          <t>Pengembangan Pegawai Berbasis Kompetensi</t>
        </is>
      </c>
      <c r="G32" s="15" t="inlineStr">
        <is>
          <t>A.3.iii.d</t>
        </is>
      </c>
      <c r="H32" s="15" t="inlineStr">
        <is>
          <t>Pegawai di Unit Kerja telah memperoleh kesempatan/hak untuk mengikuti diklat maupun pengembangan kompetensi lainnya</t>
        </is>
      </c>
      <c r="I32" s="15" t="inlineStr">
        <is>
          <t>B</t>
        </is>
      </c>
      <c r="J32" s="15" t="n">
        <v>0.67</v>
      </c>
      <c r="K32" s="49" t="n"/>
      <c r="L32" s="15" t="inlineStr">
        <is>
          <t>Upload dokumen:
1. Usul pengembangan
kompetensi pegawai
2. Surat pemanggilan diklat
3. ST diklat
4. Rekapitulasi diklat yang
sudah diikuti, kebutuhan 
diklat
5. Dokumentasi diklat
6. Sertifikat diklat</t>
        </is>
      </c>
      <c r="M32" s="15" t="inlineStr">
        <is>
          <t>—</t>
        </is>
      </c>
      <c r="N32" s="15" t="inlineStr">
        <is>
          <t>—</t>
        </is>
      </c>
      <c r="O32" s="15" t="inlineStr">
        <is>
          <t>—</t>
        </is>
      </c>
      <c r="P32" s="15" t="n"/>
      <c r="Q32" s="36" t="inlineStr">
        <is>
          <t>https://drive.google.com/drive/folders/1o9iet0ki69ypbVB1HKW9GUEf5x7ikiUV?usp=drive_link</t>
        </is>
      </c>
      <c r="R32" s="15" t="n">
        <v>47</v>
      </c>
    </row>
    <row r="33">
      <c r="A33" s="15" t="inlineStr">
        <is>
          <t>Kantah Kabupaten Gorontalo</t>
        </is>
      </c>
      <c r="B33" s="15" t="inlineStr">
        <is>
          <t>PENGUNGKIT</t>
        </is>
      </c>
      <c r="C33" s="15" t="inlineStr">
        <is>
          <t>3</t>
        </is>
      </c>
      <c r="D33" s="15" t="inlineStr">
        <is>
          <t>PENATAAN SISTEM MANAJEMEN SDM APARATUR</t>
        </is>
      </c>
      <c r="E33" s="15" t="inlineStr">
        <is>
          <t>iii</t>
        </is>
      </c>
      <c r="F33" s="15" t="inlineStr">
        <is>
          <t>Pengembangan Pegawai Berbasis Kompetensi</t>
        </is>
      </c>
      <c r="G33" s="15" t="inlineStr">
        <is>
          <t>A.3.iii.e</t>
        </is>
      </c>
      <c r="H33" s="15" t="inlineStr">
        <is>
          <t>Dalam pelaksanaan pengembangan kompetensi, unit kerja melakukan upaya pengembangan kompetensi kepada pegawai (seperti pengikutsertaan pada lembaga pelatihan, in-house training, coaching, atau mentoring)</t>
        </is>
      </c>
      <c r="I33" s="15" t="inlineStr">
        <is>
          <t>B</t>
        </is>
      </c>
      <c r="J33" s="15" t="n">
        <v>0.67</v>
      </c>
      <c r="K33" s="49" t="n"/>
      <c r="L33" s="15" t="inlineStr">
        <is>
          <t xml:space="preserve">Perbanyak dokumen:
1. Usul pengembangan 
kompetensi pegawai
2. Surat pemanggilan diklat
3. ST diklat
5. Dokumentasi diklat
6. Sertifikat diklat
</t>
        </is>
      </c>
      <c r="M33" s="15" t="inlineStr">
        <is>
          <t>—</t>
        </is>
      </c>
      <c r="N33" s="15" t="inlineStr">
        <is>
          <t>—</t>
        </is>
      </c>
      <c r="O33" s="15" t="inlineStr">
        <is>
          <t>—</t>
        </is>
      </c>
      <c r="P33" s="15" t="n"/>
      <c r="Q33" s="36" t="inlineStr">
        <is>
          <t>https://drive.google.com/drive/folders/1iYe7oNDndgeCOdlMqakrFGsNOuC3tVxh?usp=drive_link</t>
        </is>
      </c>
      <c r="R33" s="15" t="n">
        <v>48</v>
      </c>
    </row>
    <row r="34">
      <c r="A34" s="15" t="inlineStr">
        <is>
          <t>Kantah Kabupaten Gorontalo</t>
        </is>
      </c>
      <c r="B34" s="15" t="inlineStr">
        <is>
          <t>PENGUNGKIT</t>
        </is>
      </c>
      <c r="C34" s="15" t="inlineStr">
        <is>
          <t>3</t>
        </is>
      </c>
      <c r="D34" s="15" t="inlineStr">
        <is>
          <t>PENATAAN SISTEM MANAJEMEN SDM APARATUR</t>
        </is>
      </c>
      <c r="E34" s="15" t="inlineStr">
        <is>
          <t>iii</t>
        </is>
      </c>
      <c r="F34" s="15" t="inlineStr">
        <is>
          <t>Pengembangan Pegawai Berbasis Kompetensi</t>
        </is>
      </c>
      <c r="G34" s="15" t="inlineStr">
        <is>
          <t>A.3.iii.f</t>
        </is>
      </c>
      <c r="H34" s="15" t="inlineStr">
        <is>
          <t>Telah dilakukan monitoring dan evaluasi terhadap hasil pengembangan kompetensi dalam kaitannya dengan perbaikan kinerja</t>
        </is>
      </c>
      <c r="I34" s="15" t="inlineStr">
        <is>
          <t>B</t>
        </is>
      </c>
      <c r="J34" s="15" t="n">
        <v>0.5</v>
      </c>
      <c r="K34" s="49" t="n"/>
      <c r="L34" s="15" t="inlineStr">
        <is>
          <t>Upload dokumen:
Update Dokumen :
1. Laporan Monitoring dan
evaluasi pengembangan
kompetensi
2. Dokumentasi (undangan, daftar hadir, notulen)</t>
        </is>
      </c>
      <c r="M34" s="15" t="inlineStr">
        <is>
          <t>—</t>
        </is>
      </c>
      <c r="N34" s="15" t="inlineStr">
        <is>
          <t>—</t>
        </is>
      </c>
      <c r="O34" s="15" t="inlineStr">
        <is>
          <t>—</t>
        </is>
      </c>
      <c r="P34" s="15" t="n"/>
      <c r="Q34" s="36" t="inlineStr">
        <is>
          <t>https://drive.google.com/drive/folders/1LHBQENr_QcqVWpAvGPh60Gawr8q8bOqQ?usp=drive_link</t>
        </is>
      </c>
      <c r="R34" s="15" t="n">
        <v>49</v>
      </c>
    </row>
    <row r="35">
      <c r="A35" s="15" t="inlineStr">
        <is>
          <t>Kantah Kabupaten Gorontalo</t>
        </is>
      </c>
      <c r="B35" s="15" t="inlineStr">
        <is>
          <t>PENGUNGKIT</t>
        </is>
      </c>
      <c r="C35" s="15" t="inlineStr">
        <is>
          <t>3</t>
        </is>
      </c>
      <c r="D35" s="15" t="inlineStr">
        <is>
          <t>PENATAAN SISTEM MANAJEMEN SDM APARATUR</t>
        </is>
      </c>
      <c r="E35" s="15" t="inlineStr">
        <is>
          <t>iv</t>
        </is>
      </c>
      <c r="F35" s="15" t="inlineStr">
        <is>
          <t>Penetapan Kinerja Individu</t>
        </is>
      </c>
      <c r="G35" s="15" t="inlineStr">
        <is>
          <t>A.3.iv.a</t>
        </is>
      </c>
      <c r="H35" s="15" t="inlineStr">
        <is>
          <t>Terdapat penetapan kinerja individu yang terkait dengan perjanjian kinerja organisasi</t>
        </is>
      </c>
      <c r="I35" s="15" t="inlineStr">
        <is>
          <t>C</t>
        </is>
      </c>
      <c r="J35" s="15" t="n">
        <v>0.33</v>
      </c>
      <c r="K35" s="49" t="n"/>
      <c r="L35" s="15" t="inlineStr">
        <is>
          <t>Link Evidence digabung menjadi 1 link yang berisi Folder eviden masing-masing tahun.
Lengkapi:
2. Matriks peran hasil
3. PK Kakanwil, Es 3, Es 4 dan JF</t>
        </is>
      </c>
      <c r="M35" s="15" t="inlineStr">
        <is>
          <t>—</t>
        </is>
      </c>
      <c r="N35" s="15" t="inlineStr">
        <is>
          <t>—</t>
        </is>
      </c>
      <c r="O35" s="15" t="inlineStr">
        <is>
          <t>—</t>
        </is>
      </c>
      <c r="P35" s="15" t="n"/>
      <c r="Q35" s="36" t="inlineStr">
        <is>
          <t>https://drive.google.com/drive/folders/1W2kgyF01kTKvqDeVK4e1DI0DISi1PY5G?usp=drive_link</t>
        </is>
      </c>
      <c r="R35" s="15" t="n">
        <v>51</v>
      </c>
    </row>
    <row r="36">
      <c r="A36" s="15" t="inlineStr">
        <is>
          <t>Kantah Kabupaten Gorontalo</t>
        </is>
      </c>
      <c r="B36" s="15" t="inlineStr">
        <is>
          <t>PENGUNGKIT</t>
        </is>
      </c>
      <c r="C36" s="15" t="inlineStr">
        <is>
          <t>3</t>
        </is>
      </c>
      <c r="D36" s="15" t="inlineStr">
        <is>
          <t>PENATAAN SISTEM MANAJEMEN SDM APARATUR</t>
        </is>
      </c>
      <c r="E36" s="15" t="inlineStr">
        <is>
          <t>iv</t>
        </is>
      </c>
      <c r="F36" s="15" t="inlineStr">
        <is>
          <t>Penetapan Kinerja Individu</t>
        </is>
      </c>
      <c r="G36" s="15" t="inlineStr">
        <is>
          <t>A.3.iv.b</t>
        </is>
      </c>
      <c r="H36" s="15" t="inlineStr">
        <is>
          <t>Ukuran kinerja individu telah memiliki kesesuaian dengan indikator kinerja individu level diatasnya</t>
        </is>
      </c>
      <c r="I36" s="15" t="inlineStr">
        <is>
          <t>C</t>
        </is>
      </c>
      <c r="J36" s="15" t="n">
        <v>0.33</v>
      </c>
      <c r="K36" s="49" t="n"/>
      <c r="L36" s="15" t="inlineStr">
        <is>
          <t xml:space="preserve">
Lengkapi:
1. Matriks Peran Hasil
2. Rekap Nominatif 
nilai skp</t>
        </is>
      </c>
      <c r="M36" s="15" t="inlineStr">
        <is>
          <t>—</t>
        </is>
      </c>
      <c r="N36" s="15" t="inlineStr">
        <is>
          <t>—</t>
        </is>
      </c>
      <c r="O36" s="15" t="inlineStr">
        <is>
          <t>—</t>
        </is>
      </c>
      <c r="P36" s="15" t="n"/>
      <c r="Q36" s="36" t="inlineStr">
        <is>
          <t>https://drive.google.com/drive/folders/1sXzNhzVQbUzsb-uSJjLepGbu5jxdrUM1?usp=drive_link</t>
        </is>
      </c>
      <c r="R36" s="15" t="n">
        <v>52</v>
      </c>
    </row>
    <row r="37">
      <c r="A37" s="15" t="inlineStr">
        <is>
          <t>Kantah Kabupaten Gorontalo</t>
        </is>
      </c>
      <c r="B37" s="15" t="inlineStr">
        <is>
          <t>PENGUNGKIT</t>
        </is>
      </c>
      <c r="C37" s="15" t="inlineStr">
        <is>
          <t>3</t>
        </is>
      </c>
      <c r="D37" s="15" t="inlineStr">
        <is>
          <t>PENATAAN SISTEM MANAJEMEN SDM APARATUR</t>
        </is>
      </c>
      <c r="E37" s="15" t="inlineStr">
        <is>
          <t>iv</t>
        </is>
      </c>
      <c r="F37" s="15" t="inlineStr">
        <is>
          <t>Penetapan Kinerja Individu</t>
        </is>
      </c>
      <c r="G37" s="15" t="inlineStr">
        <is>
          <t>A.3.iv.c</t>
        </is>
      </c>
      <c r="H37" s="15" t="inlineStr">
        <is>
          <t>Pengukuran kinerja individu dilakukan secara periodik</t>
        </is>
      </c>
      <c r="I37" s="15" t="inlineStr">
        <is>
          <t>A</t>
        </is>
      </c>
      <c r="J37" s="15" t="n">
        <v>1</v>
      </c>
      <c r="K37" s="49" t="n"/>
      <c r="L37" s="15" t="inlineStr">
        <is>
          <t>Link Evidence digabung menjadi 1 link yang berisi Folder eviden masing-masing tahun. eviden yang diuraikan belum ada.
Lengkapi:
1. Lampirkan Rekap nominatif SKP
2. Laporan Kinerja bulanan P3K jika ada</t>
        </is>
      </c>
      <c r="M37" s="15" t="inlineStr">
        <is>
          <t>—</t>
        </is>
      </c>
      <c r="N37" s="15" t="inlineStr">
        <is>
          <t>—</t>
        </is>
      </c>
      <c r="O37" s="15" t="inlineStr">
        <is>
          <t>—</t>
        </is>
      </c>
      <c r="P37" s="15" t="n"/>
      <c r="Q37" s="36" t="inlineStr">
        <is>
          <t>https://drive.google.com/drive/folders/1nTCXjO9wghh3b_uMN8g-8lSX7lY4KtiJ?usp=drive_link</t>
        </is>
      </c>
      <c r="R37" s="15" t="n">
        <v>53</v>
      </c>
    </row>
    <row r="38">
      <c r="A38" s="15" t="inlineStr">
        <is>
          <t>Kantah Kabupaten Gorontalo</t>
        </is>
      </c>
      <c r="B38" s="15" t="inlineStr">
        <is>
          <t>PENGUNGKIT</t>
        </is>
      </c>
      <c r="C38" s="15" t="inlineStr">
        <is>
          <t>3</t>
        </is>
      </c>
      <c r="D38" s="15" t="inlineStr">
        <is>
          <t>PENATAAN SISTEM MANAJEMEN SDM APARATUR</t>
        </is>
      </c>
      <c r="E38" s="15" t="inlineStr">
        <is>
          <t>iv</t>
        </is>
      </c>
      <c r="F38" s="15" t="inlineStr">
        <is>
          <t>Penetapan Kinerja Individu</t>
        </is>
      </c>
      <c r="G38" s="15" t="inlineStr">
        <is>
          <t>A.3.iv.d</t>
        </is>
      </c>
      <c r="H38" s="15" t="inlineStr">
        <is>
          <t>Hasil penilaian kinerja individu telah dijadikan dasar untuk pemberian reward</t>
        </is>
      </c>
      <c r="I38" s="15" t="inlineStr">
        <is>
          <t>Ya</t>
        </is>
      </c>
      <c r="J38" s="15" t="n">
        <v>1</v>
      </c>
      <c r="K38" s="49" t="n"/>
      <c r="L38" s="15" t="inlineStr">
        <is>
          <t>Kekurangan:
1. Dokumentasi Reward
2. Bisa berupa SK Mutasi/ Promosi</t>
        </is>
      </c>
      <c r="M38" s="15" t="inlineStr">
        <is>
          <t>—</t>
        </is>
      </c>
      <c r="N38" s="15" t="inlineStr">
        <is>
          <t>—</t>
        </is>
      </c>
      <c r="O38" s="15" t="inlineStr">
        <is>
          <t>—</t>
        </is>
      </c>
      <c r="P38" s="15" t="n"/>
      <c r="Q38" s="36" t="inlineStr">
        <is>
          <t>https://drive.google.com/drive/folders/16Kx_zfFJGeyPSHfnP04zHmOWgcQkpKwo?usp=drive_link</t>
        </is>
      </c>
      <c r="R38" s="15" t="n">
        <v>54</v>
      </c>
    </row>
    <row r="39">
      <c r="A39" s="15" t="inlineStr">
        <is>
          <t>Kantah Kabupaten Gorontalo</t>
        </is>
      </c>
      <c r="B39" s="15" t="inlineStr">
        <is>
          <t>PENGUNGKIT</t>
        </is>
      </c>
      <c r="C39" s="15" t="inlineStr">
        <is>
          <t>3</t>
        </is>
      </c>
      <c r="D39" s="15" t="inlineStr">
        <is>
          <t>PENATAAN SISTEM MANAJEMEN SDM APARATUR</t>
        </is>
      </c>
      <c r="E39" s="15" t="inlineStr">
        <is>
          <t>v</t>
        </is>
      </c>
      <c r="F39" s="15" t="inlineStr">
        <is>
          <t>Penegakan Aturan Disiplin/Kode Etik/Kode Perilaku Pegawai</t>
        </is>
      </c>
      <c r="G39" s="15" t="inlineStr">
        <is>
          <t>A.3.v.a</t>
        </is>
      </c>
      <c r="H39" s="15" t="inlineStr">
        <is>
          <t>Aturan disiplin/kode etik/kode perilaku telah dilaksanakan/diimplementasikan</t>
        </is>
      </c>
      <c r="I39" s="15" t="inlineStr">
        <is>
          <t>B</t>
        </is>
      </c>
      <c r="J39" s="15" t="n">
        <v>0.67</v>
      </c>
      <c r="K39" s="49" t="n"/>
      <c r="L39" s="15" t="inlineStr">
        <is>
          <t>Belum ada inovasi</t>
        </is>
      </c>
      <c r="M39" s="15" t="inlineStr">
        <is>
          <t>—</t>
        </is>
      </c>
      <c r="N39" s="15" t="inlineStr">
        <is>
          <t>—</t>
        </is>
      </c>
      <c r="O39" s="15" t="inlineStr">
        <is>
          <t>—</t>
        </is>
      </c>
      <c r="P39" s="15" t="n"/>
      <c r="Q39" s="36" t="inlineStr">
        <is>
          <t>https://drive.google.com/drive/folders/1a2CwaWBVZ6a7L8v430NuV3KMa8YhuqTy</t>
        </is>
      </c>
      <c r="R39" s="15" t="n">
        <v>56</v>
      </c>
    </row>
    <row r="40">
      <c r="A40" s="15" t="inlineStr">
        <is>
          <t>Kantah Kabupaten Gorontalo</t>
        </is>
      </c>
      <c r="B40" s="15" t="inlineStr">
        <is>
          <t>PENGUNGKIT</t>
        </is>
      </c>
      <c r="C40" s="15" t="inlineStr">
        <is>
          <t>3</t>
        </is>
      </c>
      <c r="D40" s="15" t="inlineStr">
        <is>
          <t>PENATAAN SISTEM MANAJEMEN SDM APARATUR</t>
        </is>
      </c>
      <c r="E40" s="15" t="inlineStr">
        <is>
          <t>vi</t>
        </is>
      </c>
      <c r="F40" s="15" t="inlineStr">
        <is>
          <t>Sistem Informasi Kepegawaian</t>
        </is>
      </c>
      <c r="G40" s="15" t="inlineStr">
        <is>
          <t>A.3.vi.a</t>
        </is>
      </c>
      <c r="H40" s="15" t="inlineStr">
        <is>
          <t>Data informasi kepegawaian unit kerja telah dimutakhirkan secara berkala</t>
        </is>
      </c>
      <c r="I40" s="15" t="inlineStr">
        <is>
          <t>B</t>
        </is>
      </c>
      <c r="J40" s="15" t="n">
        <v>0.5</v>
      </c>
      <c r="K40" s="49" t="n"/>
      <c r="L40" s="15" t="inlineStr">
        <is>
          <t>Isi uraian evidence. Ikuti contoh LKE Kota:
https://drive.google.com/drive/folders/1O3W-XKHpu8LqW1b1Sbl1jw8QlkhD3j30</t>
        </is>
      </c>
      <c r="M40" s="15" t="inlineStr">
        <is>
          <t>—</t>
        </is>
      </c>
      <c r="N40" s="15" t="inlineStr">
        <is>
          <t>—</t>
        </is>
      </c>
      <c r="O40" s="15" t="inlineStr">
        <is>
          <t>—</t>
        </is>
      </c>
      <c r="P40" s="15" t="n"/>
      <c r="Q40" s="36" t="inlineStr">
        <is>
          <t>https://drive.google.com/drive/folders/1USj1_2RDhFamb9CWvZXw5DzlS0yEAwQs</t>
        </is>
      </c>
      <c r="R40" s="15" t="n">
        <v>58</v>
      </c>
    </row>
    <row r="41">
      <c r="A41" s="15" t="inlineStr">
        <is>
          <t>Kantah Kabupaten Gorontalo</t>
        </is>
      </c>
      <c r="B41" s="15" t="inlineStr">
        <is>
          <t>PENGUNGKIT</t>
        </is>
      </c>
      <c r="C41" s="15" t="inlineStr">
        <is>
          <t>4</t>
        </is>
      </c>
      <c r="D41" s="15" t="inlineStr">
        <is>
          <t>PENGUATAN AKUNTABILITAS</t>
        </is>
      </c>
      <c r="E41" s="15" t="inlineStr">
        <is>
          <t>i</t>
        </is>
      </c>
      <c r="F41" s="15" t="inlineStr">
        <is>
          <t>Keterlibatan Pimpinan</t>
        </is>
      </c>
      <c r="G41" s="15" t="inlineStr">
        <is>
          <t>A.4.i.a</t>
        </is>
      </c>
      <c r="H41" s="15" t="inlineStr">
        <is>
          <t>Unit kerja telah melibatkan pimpinan secara langsung pada saat penyusunan perencanaan</t>
        </is>
      </c>
      <c r="I41" s="15" t="inlineStr">
        <is>
          <t>A</t>
        </is>
      </c>
      <c r="J41" s="15" t="n">
        <v>1</v>
      </c>
      <c r="K41" s="49" t="n"/>
      <c r="L41" s="15" t="inlineStr">
        <is>
          <t xml:space="preserve">Evidence Lengkap </t>
        </is>
      </c>
      <c r="M41" s="15" t="inlineStr">
        <is>
          <t>—</t>
        </is>
      </c>
      <c r="N41" s="15" t="inlineStr">
        <is>
          <t>—</t>
        </is>
      </c>
      <c r="O41" s="15" t="inlineStr">
        <is>
          <t>—</t>
        </is>
      </c>
      <c r="P41" s="15" t="n"/>
      <c r="Q41" s="36" t="inlineStr">
        <is>
          <t xml:space="preserve">https://drive.google.com/drive/folders/140GzSbvEqG043pnNNpl5WcIvePJkXfLj?usp=share_link                                                                                                                </t>
        </is>
      </c>
      <c r="R41" s="15" t="n">
        <v>61</v>
      </c>
    </row>
    <row r="42">
      <c r="A42" s="15" t="inlineStr">
        <is>
          <t>Kantah Kabupaten Gorontalo</t>
        </is>
      </c>
      <c r="B42" s="15" t="inlineStr">
        <is>
          <t>PENGUNGKIT</t>
        </is>
      </c>
      <c r="C42" s="15" t="inlineStr">
        <is>
          <t>4</t>
        </is>
      </c>
      <c r="D42" s="15" t="inlineStr">
        <is>
          <t>PENGUATAN AKUNTABILITAS</t>
        </is>
      </c>
      <c r="E42" s="15" t="inlineStr">
        <is>
          <t>i</t>
        </is>
      </c>
      <c r="F42" s="15" t="inlineStr">
        <is>
          <t>Keterlibatan Pimpinan</t>
        </is>
      </c>
      <c r="G42" s="15" t="inlineStr">
        <is>
          <t>A.4.i.b</t>
        </is>
      </c>
      <c r="H42" s="15" t="inlineStr">
        <is>
          <t>Unit kerja telah melibatkan secara langsung pimpinan saat penyusunan penetapan kinerja</t>
        </is>
      </c>
      <c r="I42" s="15" t="inlineStr">
        <is>
          <t>A</t>
        </is>
      </c>
      <c r="J42" s="15" t="n">
        <v>1</v>
      </c>
      <c r="K42" s="49" t="n"/>
      <c r="L42" s="15" t="inlineStr">
        <is>
          <t xml:space="preserve">Evidence Lengkap </t>
        </is>
      </c>
      <c r="M42" s="15" t="inlineStr">
        <is>
          <t>—</t>
        </is>
      </c>
      <c r="N42" s="15" t="inlineStr">
        <is>
          <t>—</t>
        </is>
      </c>
      <c r="O42" s="15" t="inlineStr">
        <is>
          <t>—</t>
        </is>
      </c>
      <c r="P42" s="15" t="n"/>
      <c r="Q42" s="36" t="inlineStr">
        <is>
          <t xml:space="preserve"> https://drive.google.com/drive/folders/1R8MUmc3hnEnjigYVmL04CLY2ahJv2J8B?usp=share_link                                                                                                             </t>
        </is>
      </c>
      <c r="R42" s="15" t="n">
        <v>62</v>
      </c>
    </row>
    <row r="43">
      <c r="A43" s="15" t="inlineStr">
        <is>
          <t>Kantah Kabupaten Gorontalo</t>
        </is>
      </c>
      <c r="B43" s="15" t="inlineStr">
        <is>
          <t>PENGUNGKIT</t>
        </is>
      </c>
      <c r="C43" s="15" t="inlineStr">
        <is>
          <t>4</t>
        </is>
      </c>
      <c r="D43" s="15" t="inlineStr">
        <is>
          <t>PENGUATAN AKUNTABILITAS</t>
        </is>
      </c>
      <c r="E43" s="15" t="inlineStr">
        <is>
          <t>i</t>
        </is>
      </c>
      <c r="F43" s="15" t="inlineStr">
        <is>
          <t>Keterlibatan Pimpinan</t>
        </is>
      </c>
      <c r="G43" s="15" t="inlineStr">
        <is>
          <t>A.4.i.c</t>
        </is>
      </c>
      <c r="H43" s="15" t="inlineStr">
        <is>
          <t>Pimpinan memantau pencapaian kinerja secara berkala</t>
        </is>
      </c>
      <c r="I43" s="15" t="inlineStr">
        <is>
          <t>A</t>
        </is>
      </c>
      <c r="J43" s="15" t="n">
        <v>1</v>
      </c>
      <c r="K43" s="49" t="n"/>
      <c r="L43" s="15" t="inlineStr">
        <is>
          <t>Evidence Lengkap</t>
        </is>
      </c>
      <c r="M43" s="15" t="inlineStr">
        <is>
          <t>—</t>
        </is>
      </c>
      <c r="N43" s="15" t="inlineStr">
        <is>
          <t>—</t>
        </is>
      </c>
      <c r="O43" s="15" t="inlineStr">
        <is>
          <t>—</t>
        </is>
      </c>
      <c r="P43" s="15" t="n"/>
      <c r="Q43" s="36" t="inlineStr">
        <is>
          <t xml:space="preserve">https://drive.google.com/drive/folders/1wvNsQAMI3zz4xvCJncCpm3rhgTqjFTse?usp=share_link                                                                                                                                    </t>
        </is>
      </c>
      <c r="R43" s="15" t="n">
        <v>63</v>
      </c>
    </row>
    <row r="44">
      <c r="A44" s="15" t="inlineStr">
        <is>
          <t>Kantah Kabupaten Gorontalo</t>
        </is>
      </c>
      <c r="B44" s="15" t="inlineStr">
        <is>
          <t>PENGUNGKIT</t>
        </is>
      </c>
      <c r="C44" s="15" t="inlineStr">
        <is>
          <t>4</t>
        </is>
      </c>
      <c r="D44" s="15" t="inlineStr">
        <is>
          <t>PENGUATAN AKUNTABILITAS</t>
        </is>
      </c>
      <c r="E44" s="15" t="inlineStr">
        <is>
          <t>ii</t>
        </is>
      </c>
      <c r="F44" s="15" t="inlineStr">
        <is>
          <t>Pengelolaan Akuntabilitas Kinerja</t>
        </is>
      </c>
      <c r="G44" s="15" t="inlineStr">
        <is>
          <t>A.4.ii.a</t>
        </is>
      </c>
      <c r="H44" s="15" t="inlineStr">
        <is>
          <t>Dokumen perencanaan kinerja sudah ada</t>
        </is>
      </c>
      <c r="I44" s="15" t="inlineStr">
        <is>
          <t>Ya</t>
        </is>
      </c>
      <c r="J44" s="15" t="n">
        <v>1</v>
      </c>
      <c r="K44" s="49" t="n"/>
      <c r="L44" s="15" t="inlineStr">
        <is>
          <t xml:space="preserve">Masih perlu dilengkapi:
1. Renaksi 2026 tidak ada ttd kepala kantor
</t>
        </is>
      </c>
      <c r="M44" s="15" t="inlineStr">
        <is>
          <t>—</t>
        </is>
      </c>
      <c r="N44" s="15" t="inlineStr">
        <is>
          <t>—</t>
        </is>
      </c>
      <c r="O44" s="15" t="inlineStr">
        <is>
          <t>—</t>
        </is>
      </c>
      <c r="P44" s="15" t="n"/>
      <c r="Q44" s="36" t="inlineStr">
        <is>
          <t xml:space="preserve">https://drive.google.com/drive/folders/1XODqVKQnhp0RnjKpH2JrJDwjLmqGd2gQ?usp=share_link                                                                                                             </t>
        </is>
      </c>
      <c r="R44" s="15" t="n">
        <v>65</v>
      </c>
    </row>
    <row r="45">
      <c r="A45" s="15" t="inlineStr">
        <is>
          <t>Kantah Kabupaten Gorontalo</t>
        </is>
      </c>
      <c r="B45" s="15" t="inlineStr">
        <is>
          <t>PENGUNGKIT</t>
        </is>
      </c>
      <c r="C45" s="15" t="inlineStr">
        <is>
          <t>4</t>
        </is>
      </c>
      <c r="D45" s="15" t="inlineStr">
        <is>
          <t>PENGUATAN AKUNTABILITAS</t>
        </is>
      </c>
      <c r="E45" s="15" t="inlineStr">
        <is>
          <t>ii</t>
        </is>
      </c>
      <c r="F45" s="15" t="inlineStr">
        <is>
          <t>Pengelolaan Akuntabilitas Kinerja</t>
        </is>
      </c>
      <c r="G45" s="15" t="inlineStr">
        <is>
          <t>A.4.ii.b</t>
        </is>
      </c>
      <c r="H45" s="15" t="inlineStr">
        <is>
          <t>Perencanaan kinerja telah berorientasi hasil</t>
        </is>
      </c>
      <c r="I45" s="15" t="inlineStr">
        <is>
          <t>Ya</t>
        </is>
      </c>
      <c r="J45" s="15" t="n">
        <v>1</v>
      </c>
      <c r="K45" s="49" t="n"/>
      <c r="L45" s="15" t="inlineStr">
        <is>
          <t>Evidence Lengkap</t>
        </is>
      </c>
      <c r="M45" s="15" t="inlineStr">
        <is>
          <t>—</t>
        </is>
      </c>
      <c r="N45" s="15" t="inlineStr">
        <is>
          <t>—</t>
        </is>
      </c>
      <c r="O45" s="15" t="inlineStr">
        <is>
          <t>—</t>
        </is>
      </c>
      <c r="P45" s="15" t="n"/>
      <c r="Q45" s="36" t="inlineStr">
        <is>
          <t xml:space="preserve">https://drive.google.com/drive/folders/1GIlQWB3yb2-_fE8N21GVjOb2ZqSrf8fB?usp=share_link            </t>
        </is>
      </c>
      <c r="R45" s="15" t="n">
        <v>66</v>
      </c>
    </row>
    <row r="46">
      <c r="A46" s="15" t="inlineStr">
        <is>
          <t>Kantah Kabupaten Gorontalo</t>
        </is>
      </c>
      <c r="B46" s="15" t="inlineStr">
        <is>
          <t>PENGUNGKIT</t>
        </is>
      </c>
      <c r="C46" s="15" t="inlineStr">
        <is>
          <t>4</t>
        </is>
      </c>
      <c r="D46" s="15" t="inlineStr">
        <is>
          <t>PENGUATAN AKUNTABILITAS</t>
        </is>
      </c>
      <c r="E46" s="15" t="inlineStr">
        <is>
          <t>ii</t>
        </is>
      </c>
      <c r="F46" s="15" t="inlineStr">
        <is>
          <t>Pengelolaan Akuntabilitas Kinerja</t>
        </is>
      </c>
      <c r="G46" s="15" t="inlineStr">
        <is>
          <t>A.4.ii.c</t>
        </is>
      </c>
      <c r="H46" s="15" t="inlineStr">
        <is>
          <t>Terdapat penetapan Indikator Kinerja Utama (IKU)</t>
        </is>
      </c>
      <c r="I46" s="15" t="inlineStr">
        <is>
          <t>Ya</t>
        </is>
      </c>
      <c r="J46" s="15" t="n">
        <v>1</v>
      </c>
      <c r="K46" s="49" t="n"/>
      <c r="L46" s="15" t="inlineStr">
        <is>
          <t>Evidence Lengkap</t>
        </is>
      </c>
      <c r="M46" s="15" t="inlineStr">
        <is>
          <t>—</t>
        </is>
      </c>
      <c r="N46" s="15" t="inlineStr">
        <is>
          <t>—</t>
        </is>
      </c>
      <c r="O46" s="15" t="inlineStr">
        <is>
          <t>—</t>
        </is>
      </c>
      <c r="P46" s="15" t="n"/>
      <c r="Q46" s="36" t="inlineStr">
        <is>
          <t xml:space="preserve">2025:
https://drive.google.com/drive/u/2/folders/1VHI7v92VEeolexo8Auy4pBSd1UzznS_C
</t>
        </is>
      </c>
      <c r="R46" s="15" t="n">
        <v>67</v>
      </c>
    </row>
    <row r="47">
      <c r="A47" s="15" t="inlineStr">
        <is>
          <t>Kantah Kabupaten Gorontalo</t>
        </is>
      </c>
      <c r="B47" s="15" t="inlineStr">
        <is>
          <t>PENGUNGKIT</t>
        </is>
      </c>
      <c r="C47" s="15" t="inlineStr">
        <is>
          <t>4</t>
        </is>
      </c>
      <c r="D47" s="15" t="inlineStr">
        <is>
          <t>PENGUATAN AKUNTABILITAS</t>
        </is>
      </c>
      <c r="E47" s="15" t="inlineStr">
        <is>
          <t>ii</t>
        </is>
      </c>
      <c r="F47" s="15" t="inlineStr">
        <is>
          <t>Pengelolaan Akuntabilitas Kinerja</t>
        </is>
      </c>
      <c r="G47" s="15" t="inlineStr">
        <is>
          <t>A.4.ii.d</t>
        </is>
      </c>
      <c r="H47" s="15" t="inlineStr">
        <is>
          <t>Indikator kinerja telah telah memenuhi kriteria SMART</t>
        </is>
      </c>
      <c r="I47" s="15" t="inlineStr">
        <is>
          <t>A</t>
        </is>
      </c>
      <c r="J47" s="15" t="n">
        <v>1</v>
      </c>
      <c r="K47" s="49" t="n"/>
      <c r="L47" s="15" t="inlineStr">
        <is>
          <t>Evidence Lengkap</t>
        </is>
      </c>
      <c r="M47" s="15" t="inlineStr">
        <is>
          <t>—</t>
        </is>
      </c>
      <c r="N47" s="15" t="inlineStr">
        <is>
          <t>—</t>
        </is>
      </c>
      <c r="O47" s="15" t="inlineStr">
        <is>
          <t>—</t>
        </is>
      </c>
      <c r="P47" s="15" t="n"/>
      <c r="Q47" s="36" t="inlineStr">
        <is>
          <t>2025:
https://drive.google.com/drive/u/2/folders/1ozmWO3ZTRNUd0leXP__Y2CdoEvkT8y73</t>
        </is>
      </c>
      <c r="R47" s="15" t="n">
        <v>68</v>
      </c>
    </row>
    <row r="48">
      <c r="A48" s="15" t="inlineStr">
        <is>
          <t>Kantah Kabupaten Gorontalo</t>
        </is>
      </c>
      <c r="B48" s="15" t="inlineStr">
        <is>
          <t>PENGUNGKIT</t>
        </is>
      </c>
      <c r="C48" s="15" t="inlineStr">
        <is>
          <t>4</t>
        </is>
      </c>
      <c r="D48" s="15" t="inlineStr">
        <is>
          <t>PENGUATAN AKUNTABILITAS</t>
        </is>
      </c>
      <c r="E48" s="15" t="inlineStr">
        <is>
          <t>ii</t>
        </is>
      </c>
      <c r="F48" s="15" t="inlineStr">
        <is>
          <t>Pengelolaan Akuntabilitas Kinerja</t>
        </is>
      </c>
      <c r="G48" s="15" t="inlineStr">
        <is>
          <t>A.4.ii.e</t>
        </is>
      </c>
      <c r="H48" s="15" t="inlineStr">
        <is>
          <t>Laporan kinerja telah disusun tepat waktu</t>
        </is>
      </c>
      <c r="I48" s="15" t="inlineStr">
        <is>
          <t>Ya</t>
        </is>
      </c>
      <c r="J48" s="15" t="n">
        <v>1</v>
      </c>
      <c r="K48" s="49" t="n"/>
      <c r="L48" s="15" t="inlineStr">
        <is>
          <t>Evidence Lengkap</t>
        </is>
      </c>
      <c r="M48" s="15" t="inlineStr">
        <is>
          <t>—</t>
        </is>
      </c>
      <c r="N48" s="15" t="inlineStr">
        <is>
          <t>—</t>
        </is>
      </c>
      <c r="O48" s="15" t="inlineStr">
        <is>
          <t>—</t>
        </is>
      </c>
      <c r="P48" s="15" t="n"/>
      <c r="Q48" s="36" t="inlineStr">
        <is>
          <t>https://drive.google.com/drive/folders/1kRvkIflLC1OazADxLp1w8xS4Trsmbyc9</t>
        </is>
      </c>
      <c r="R48" s="15" t="n">
        <v>69</v>
      </c>
    </row>
    <row r="49">
      <c r="A49" s="15" t="inlineStr">
        <is>
          <t>Kantah Kabupaten Gorontalo</t>
        </is>
      </c>
      <c r="B49" s="15" t="inlineStr">
        <is>
          <t>PENGUNGKIT</t>
        </is>
      </c>
      <c r="C49" s="15" t="inlineStr">
        <is>
          <t>4</t>
        </is>
      </c>
      <c r="D49" s="15" t="inlineStr">
        <is>
          <t>PENGUATAN AKUNTABILITAS</t>
        </is>
      </c>
      <c r="E49" s="15" t="inlineStr">
        <is>
          <t>ii</t>
        </is>
      </c>
      <c r="F49" s="15" t="inlineStr">
        <is>
          <t>Pengelolaan Akuntabilitas Kinerja</t>
        </is>
      </c>
      <c r="G49" s="15" t="inlineStr">
        <is>
          <t>A.4.ii.f</t>
        </is>
      </c>
      <c r="H49" s="15" t="inlineStr">
        <is>
          <t>Laporan kinerja telah memberikan informasi tentang kinerja</t>
        </is>
      </c>
      <c r="I49" s="15" t="inlineStr">
        <is>
          <t>A</t>
        </is>
      </c>
      <c r="J49" s="15" t="n">
        <v>1</v>
      </c>
      <c r="K49" s="49" t="n"/>
      <c r="L49" s="15" t="inlineStr">
        <is>
          <t xml:space="preserve">Harusnya point 5 LKE Renaksi TW I Thn 2026
</t>
        </is>
      </c>
      <c r="M49" s="15" t="inlineStr">
        <is>
          <t>—</t>
        </is>
      </c>
      <c r="N49" s="15" t="inlineStr">
        <is>
          <t>—</t>
        </is>
      </c>
      <c r="O49" s="15" t="inlineStr">
        <is>
          <t>—</t>
        </is>
      </c>
      <c r="P49" s="15" t="n"/>
      <c r="Q49" s="36" t="inlineStr">
        <is>
          <t xml:space="preserve">2025:
https://drive.google.com/drive/u/2/folders/10_1KVzyam7q1qLzmKT0HSFlHaY5fVlB7   </t>
        </is>
      </c>
      <c r="R49" s="15" t="n">
        <v>70</v>
      </c>
    </row>
    <row r="50">
      <c r="A50" s="15" t="inlineStr">
        <is>
          <t>Kantah Kabupaten Gorontalo</t>
        </is>
      </c>
      <c r="B50" s="15" t="inlineStr">
        <is>
          <t>PENGUNGKIT</t>
        </is>
      </c>
      <c r="C50" s="15" t="inlineStr">
        <is>
          <t>4</t>
        </is>
      </c>
      <c r="D50" s="15" t="inlineStr">
        <is>
          <t>PENGUATAN AKUNTABILITAS</t>
        </is>
      </c>
      <c r="E50" s="15" t="inlineStr">
        <is>
          <t>ii</t>
        </is>
      </c>
      <c r="F50" s="15" t="inlineStr">
        <is>
          <t>Pengelolaan Akuntabilitas Kinerja</t>
        </is>
      </c>
      <c r="G50" s="15" t="inlineStr">
        <is>
          <t>A.4.ii.g</t>
        </is>
      </c>
      <c r="H50" s="15" t="inlineStr">
        <is>
          <t>Terdapat sistem informasi/mekanisme informasi kinerja</t>
        </is>
      </c>
      <c r="I50" s="15" t="inlineStr">
        <is>
          <t>Ya</t>
        </is>
      </c>
      <c r="J50" s="15" t="n">
        <v>1</v>
      </c>
      <c r="K50" s="49" t="n"/>
      <c r="L50" s="15" t="inlineStr">
        <is>
          <t>Evidence Lengkap</t>
        </is>
      </c>
      <c r="M50" s="15" t="inlineStr">
        <is>
          <t>—</t>
        </is>
      </c>
      <c r="N50" s="15" t="inlineStr">
        <is>
          <t>—</t>
        </is>
      </c>
      <c r="O50" s="15" t="inlineStr">
        <is>
          <t>—</t>
        </is>
      </c>
      <c r="P50" s="15" t="n"/>
      <c r="Q50" s="36" t="inlineStr">
        <is>
          <t>2025:
https://drive.google.com/drive/u/2/folders/1ga1tV-I52nm851GFWxwnKfht1bOoXD0p</t>
        </is>
      </c>
      <c r="R50" s="15" t="n">
        <v>71</v>
      </c>
    </row>
    <row r="51">
      <c r="A51" s="15" t="inlineStr">
        <is>
          <t>Kantah Kabupaten Gorontalo</t>
        </is>
      </c>
      <c r="B51" s="15" t="inlineStr">
        <is>
          <t>PENGUNGKIT</t>
        </is>
      </c>
      <c r="C51" s="15" t="inlineStr">
        <is>
          <t>4</t>
        </is>
      </c>
      <c r="D51" s="15" t="inlineStr">
        <is>
          <t>PENGUATAN AKUNTABILITAS</t>
        </is>
      </c>
      <c r="E51" s="15" t="inlineStr">
        <is>
          <t>ii</t>
        </is>
      </c>
      <c r="F51" s="15" t="inlineStr">
        <is>
          <t>Pengelolaan Akuntabilitas Kinerja</t>
        </is>
      </c>
      <c r="G51" s="15" t="inlineStr">
        <is>
          <t>A.4.ii.h</t>
        </is>
      </c>
      <c r="H51" s="15" t="inlineStr">
        <is>
          <t>Unit kerja telah berupaya meningkatkan kapasitas SDM yang menangangi akuntabilitas kinerja</t>
        </is>
      </c>
      <c r="I51" s="15" t="inlineStr">
        <is>
          <t>B</t>
        </is>
      </c>
      <c r="J51" s="15" t="n">
        <v>0.5</v>
      </c>
      <c r="K51" s="49" t="n"/>
      <c r="L51" s="15" t="inlineStr">
        <is>
          <t xml:space="preserve">1. Nodin penyusunan sakip belum ada
2. Daftar Hadir tidak ada
</t>
        </is>
      </c>
      <c r="M51" s="15" t="inlineStr">
        <is>
          <t>—</t>
        </is>
      </c>
      <c r="N51" s="15" t="inlineStr">
        <is>
          <t>—</t>
        </is>
      </c>
      <c r="O51" s="15" t="inlineStr">
        <is>
          <t>—</t>
        </is>
      </c>
      <c r="P51" s="15" t="n"/>
      <c r="Q51" s="36" t="inlineStr">
        <is>
          <t>https://drive.google.com/drive/folders/1pb8s2ibKwlfaPFROahkvBAAfUuQGXlOq?usp=share_link</t>
        </is>
      </c>
      <c r="R51" s="15" t="n">
        <v>72</v>
      </c>
    </row>
    <row r="52">
      <c r="A52" s="15" t="inlineStr">
        <is>
          <t>Kantah Kabupaten Gorontalo</t>
        </is>
      </c>
      <c r="B52" s="15" t="inlineStr">
        <is>
          <t>PENGUNGKIT</t>
        </is>
      </c>
      <c r="C52" s="15" t="inlineStr">
        <is>
          <t>4</t>
        </is>
      </c>
      <c r="D52" s="15" t="inlineStr">
        <is>
          <t>PENGUATAN AKUNTABILITAS</t>
        </is>
      </c>
      <c r="E52" s="15" t="inlineStr">
        <is>
          <t>i</t>
        </is>
      </c>
      <c r="F52" s="15" t="inlineStr">
        <is>
          <t>Pengendalian Gratifikasi</t>
        </is>
      </c>
      <c r="G52" s="15" t="inlineStr">
        <is>
          <t>A.4.i.a</t>
        </is>
      </c>
      <c r="H52" s="15" t="inlineStr">
        <is>
          <t>Telah dilakukan public campaign tentang pengendalian gratifikasi</t>
        </is>
      </c>
      <c r="I52" s="15" t="inlineStr">
        <is>
          <t>C</t>
        </is>
      </c>
      <c r="J52" s="15" t="n">
        <v>0</v>
      </c>
      <c r="K52" s="49" t="n"/>
      <c r="L52" s="15" t="inlineStr">
        <is>
          <t>- Tambahkan Evidence 2 Tahun terakhir
- Surat Edaran Kepala Kantor  Perihal himbauan untuk tidak melakukan pungli.
- Surat Edaran Kepala Kantor   Perihal larangan menerima gratifikasi dan memberikan imbalan dalam bentuk apapun
- Dokumentsai Himbauan terkait gratifikasi kepada masyarakat 
- Infografis Himbauan di Media Sosial</t>
        </is>
      </c>
      <c r="M52" s="15" t="inlineStr">
        <is>
          <t>—</t>
        </is>
      </c>
      <c r="N52" s="15" t="inlineStr">
        <is>
          <t>—</t>
        </is>
      </c>
      <c r="O52" s="15" t="inlineStr">
        <is>
          <t>—</t>
        </is>
      </c>
      <c r="P52" s="15" t="n"/>
      <c r="Q52" s="36" t="inlineStr">
        <is>
          <t>https://drive.google.com/drive/folders/1sHpZMAS3AAujPORuGFACuYOTbl0Rujov?usp=drive_link</t>
        </is>
      </c>
      <c r="R52" s="15" t="n">
        <v>75</v>
      </c>
    </row>
    <row r="53">
      <c r="A53" s="15" t="inlineStr">
        <is>
          <t>Kantah Kabupaten Gorontalo</t>
        </is>
      </c>
      <c r="B53" s="15" t="inlineStr">
        <is>
          <t>PENGUNGKIT</t>
        </is>
      </c>
      <c r="C53" s="15" t="inlineStr">
        <is>
          <t>4</t>
        </is>
      </c>
      <c r="D53" s="15" t="inlineStr">
        <is>
          <t>PENGUATAN AKUNTABILITAS</t>
        </is>
      </c>
      <c r="E53" s="15" t="inlineStr">
        <is>
          <t>i</t>
        </is>
      </c>
      <c r="F53" s="15" t="inlineStr">
        <is>
          <t>Pengendalian Gratifikasi</t>
        </is>
      </c>
      <c r="G53" s="15" t="inlineStr">
        <is>
          <t>A.4.i.b</t>
        </is>
      </c>
      <c r="H53" s="15" t="inlineStr">
        <is>
          <t>Pengendalian gratifikasi telah diimplementasikan</t>
        </is>
      </c>
      <c r="I53" s="15" t="inlineStr">
        <is>
          <t>C</t>
        </is>
      </c>
      <c r="J53" s="15" t="n">
        <v>0.33</v>
      </c>
      <c r="K53" s="49" t="n"/>
      <c r="L53" s="15" t="n"/>
      <c r="M53" s="15" t="inlineStr">
        <is>
          <t>—</t>
        </is>
      </c>
      <c r="N53" s="15" t="inlineStr">
        <is>
          <t>—</t>
        </is>
      </c>
      <c r="O53" s="15" t="inlineStr">
        <is>
          <t>—</t>
        </is>
      </c>
      <c r="P53" s="15" t="n"/>
      <c r="Q53" s="36" t="inlineStr">
        <is>
          <t>https://drive.google.com/drive/folders/1V17sdf7ewKjsUWognuCFqXkANrNfksQB?usp=drive_link</t>
        </is>
      </c>
      <c r="R53" s="15" t="n">
        <v>76</v>
      </c>
    </row>
    <row r="54">
      <c r="A54" s="15" t="inlineStr">
        <is>
          <t>Kantah Kabupaten Gorontalo</t>
        </is>
      </c>
      <c r="B54" s="15" t="inlineStr">
        <is>
          <t>PENGUNGKIT</t>
        </is>
      </c>
      <c r="C54" s="15" t="inlineStr">
        <is>
          <t>4</t>
        </is>
      </c>
      <c r="D54" s="15" t="inlineStr">
        <is>
          <t>PENGUATAN AKUNTABILITAS</t>
        </is>
      </c>
      <c r="E54" s="15" t="inlineStr">
        <is>
          <t>ii</t>
        </is>
      </c>
      <c r="F54" s="15" t="inlineStr">
        <is>
          <t>Penerapan Sistem Pengendalian Intern Pemerintah (SPIP)</t>
        </is>
      </c>
      <c r="G54" s="15" t="inlineStr">
        <is>
          <t>A.4.ii.a</t>
        </is>
      </c>
      <c r="H54" s="15" t="inlineStr">
        <is>
          <t>Telah dibangun lingkungan pengendalian</t>
        </is>
      </c>
      <c r="I54" s="15" t="inlineStr">
        <is>
          <t>B</t>
        </is>
      </c>
      <c r="J54" s="15" t="n">
        <v>0.75</v>
      </c>
      <c r="K54" s="49" t="n"/>
      <c r="L54" s="15" t="n"/>
      <c r="M54" s="15" t="inlineStr">
        <is>
          <t>—</t>
        </is>
      </c>
      <c r="N54" s="15" t="inlineStr">
        <is>
          <t>—</t>
        </is>
      </c>
      <c r="O54" s="15" t="inlineStr">
        <is>
          <t>—</t>
        </is>
      </c>
      <c r="P54" s="15" t="n"/>
      <c r="Q54" s="36" t="inlineStr">
        <is>
          <t>https://drive.google.com/drive/folders/1RUTZP7TMfe_hMhvBWGlyTLeBdVZ8Fm2-?usp=drive_link</t>
        </is>
      </c>
      <c r="R54" s="15" t="n">
        <v>78</v>
      </c>
    </row>
    <row r="55">
      <c r="A55" s="15" t="inlineStr">
        <is>
          <t>Kantah Kabupaten Gorontalo</t>
        </is>
      </c>
      <c r="B55" s="15" t="inlineStr">
        <is>
          <t>PENGUNGKIT</t>
        </is>
      </c>
      <c r="C55" s="15" t="inlineStr">
        <is>
          <t>4</t>
        </is>
      </c>
      <c r="D55" s="15" t="inlineStr">
        <is>
          <t>PENGUATAN AKUNTABILITAS</t>
        </is>
      </c>
      <c r="E55" s="15" t="inlineStr">
        <is>
          <t>ii</t>
        </is>
      </c>
      <c r="F55" s="15" t="inlineStr">
        <is>
          <t>Penerapan Sistem Pengendalian Intern Pemerintah (SPIP)</t>
        </is>
      </c>
      <c r="G55" s="15" t="inlineStr">
        <is>
          <t>A.4.ii.b</t>
        </is>
      </c>
      <c r="H55" s="15" t="inlineStr">
        <is>
          <t>Telah dilakukan penilaian risiko atas pelaksanaan kebijakan</t>
        </is>
      </c>
      <c r="I55" s="15" t="inlineStr">
        <is>
          <t>B</t>
        </is>
      </c>
      <c r="J55" s="15" t="n">
        <v>0.75</v>
      </c>
      <c r="K55" s="49" t="n"/>
      <c r="L55" s="15" t="inlineStr">
        <is>
          <t>Uraian Keterangan di perbaiki</t>
        </is>
      </c>
      <c r="M55" s="15" t="inlineStr">
        <is>
          <t>—</t>
        </is>
      </c>
      <c r="N55" s="15" t="inlineStr">
        <is>
          <t>—</t>
        </is>
      </c>
      <c r="O55" s="15" t="inlineStr">
        <is>
          <t>—</t>
        </is>
      </c>
      <c r="P55" s="15" t="n"/>
      <c r="Q55" s="36" t="inlineStr">
        <is>
          <t>https://drive.google.com/drive/folders/1VgsPcxM3BhYB2lSOnzW9xokoc0UxLxqR?usp=drive_link</t>
        </is>
      </c>
      <c r="R55" s="15" t="n">
        <v>79</v>
      </c>
    </row>
    <row r="56">
      <c r="A56" s="15" t="inlineStr">
        <is>
          <t>Kantah Kabupaten Gorontalo</t>
        </is>
      </c>
      <c r="B56" s="15" t="inlineStr">
        <is>
          <t>PENGUNGKIT</t>
        </is>
      </c>
      <c r="C56" s="15" t="inlineStr">
        <is>
          <t>4</t>
        </is>
      </c>
      <c r="D56" s="15" t="inlineStr">
        <is>
          <t>PENGUATAN AKUNTABILITAS</t>
        </is>
      </c>
      <c r="E56" s="15" t="inlineStr">
        <is>
          <t>ii</t>
        </is>
      </c>
      <c r="F56" s="15" t="inlineStr">
        <is>
          <t>Penerapan Sistem Pengendalian Intern Pemerintah (SPIP)</t>
        </is>
      </c>
      <c r="G56" s="15" t="inlineStr">
        <is>
          <t>A.4.ii.c</t>
        </is>
      </c>
      <c r="H56" s="15" t="inlineStr">
        <is>
          <t>Telah dilakukan kegiatan pengendalian untuk meminimalisir risiko yang telah diidentifikasi</t>
        </is>
      </c>
      <c r="I56" s="15" t="inlineStr">
        <is>
          <t>B</t>
        </is>
      </c>
      <c r="J56" s="15" t="n">
        <v>0.5</v>
      </c>
      <c r="K56" s="49" t="n"/>
      <c r="L56" s="15" t="n"/>
      <c r="M56" s="15" t="inlineStr">
        <is>
          <t>—</t>
        </is>
      </c>
      <c r="N56" s="15" t="inlineStr">
        <is>
          <t>—</t>
        </is>
      </c>
      <c r="O56" s="15" t="inlineStr">
        <is>
          <t>—</t>
        </is>
      </c>
      <c r="P56" s="15" t="n"/>
      <c r="Q56" s="36" t="inlineStr">
        <is>
          <t>https://drive.google.com/drive/folders/1c5HMJhrbI-i7ZMN3CtsTZoK_hpo4xr_c?usp=drive_link</t>
        </is>
      </c>
      <c r="R56" s="15" t="n">
        <v>80</v>
      </c>
    </row>
    <row r="57">
      <c r="A57" s="15" t="inlineStr">
        <is>
          <t>Kantah Kabupaten Gorontalo</t>
        </is>
      </c>
      <c r="B57" s="15" t="inlineStr">
        <is>
          <t>PENGUNGKIT</t>
        </is>
      </c>
      <c r="C57" s="15" t="inlineStr">
        <is>
          <t>4</t>
        </is>
      </c>
      <c r="D57" s="15" t="inlineStr">
        <is>
          <t>PENGUATAN AKUNTABILITAS</t>
        </is>
      </c>
      <c r="E57" s="15" t="inlineStr">
        <is>
          <t>ii</t>
        </is>
      </c>
      <c r="F57" s="15" t="inlineStr">
        <is>
          <t>Penerapan Sistem Pengendalian Intern Pemerintah (SPIP)</t>
        </is>
      </c>
      <c r="G57" s="15" t="inlineStr">
        <is>
          <t>A.4.ii.d</t>
        </is>
      </c>
      <c r="H57" s="15" t="inlineStr">
        <is>
          <t>SPI telah diinformasikan dan dikomunikasikan kepada seluruh pihak terkait</t>
        </is>
      </c>
      <c r="I57" s="15" t="inlineStr">
        <is>
          <t>B</t>
        </is>
      </c>
      <c r="J57" s="15" t="n">
        <v>0.5</v>
      </c>
      <c r="K57" s="49" t="n"/>
      <c r="L57" s="15" t="n"/>
      <c r="M57" s="15" t="inlineStr">
        <is>
          <t>—</t>
        </is>
      </c>
      <c r="N57" s="15" t="inlineStr">
        <is>
          <t>—</t>
        </is>
      </c>
      <c r="O57" s="15" t="inlineStr">
        <is>
          <t>—</t>
        </is>
      </c>
      <c r="P57" s="15" t="n"/>
      <c r="Q57" s="36" t="inlineStr">
        <is>
          <t>https://drive.google.com/drive/folders/1SHfpMUs7VFBI0JooMHhpLMGzyNpck5_j?usp=drive_link</t>
        </is>
      </c>
      <c r="R57" s="15" t="n">
        <v>81</v>
      </c>
    </row>
    <row r="58">
      <c r="A58" s="15" t="inlineStr">
        <is>
          <t>Kantah Kabupaten Gorontalo</t>
        </is>
      </c>
      <c r="B58" s="15" t="inlineStr">
        <is>
          <t>PENGUNGKIT</t>
        </is>
      </c>
      <c r="C58" s="15" t="inlineStr">
        <is>
          <t>4</t>
        </is>
      </c>
      <c r="D58" s="15" t="inlineStr">
        <is>
          <t>PENGUATAN AKUNTABILITAS</t>
        </is>
      </c>
      <c r="E58" s="15" t="inlineStr">
        <is>
          <t>iii</t>
        </is>
      </c>
      <c r="F58" s="15" t="inlineStr">
        <is>
          <t>Pengaduan Masyarakat</t>
        </is>
      </c>
      <c r="G58" s="15" t="inlineStr">
        <is>
          <t>A.4.iii.a</t>
        </is>
      </c>
      <c r="H58" s="15" t="inlineStr">
        <is>
          <t>Kebijakan Pengaduan masyarakat telah diimplementasikan</t>
        </is>
      </c>
      <c r="I58" s="15" t="inlineStr">
        <is>
          <t>B</t>
        </is>
      </c>
      <c r="J58" s="15" t="n">
        <v>0.5</v>
      </c>
      <c r="K58" s="49" t="n"/>
      <c r="L58" s="15" t="n"/>
      <c r="M58" s="15" t="inlineStr">
        <is>
          <t>—</t>
        </is>
      </c>
      <c r="N58" s="15" t="inlineStr">
        <is>
          <t>—</t>
        </is>
      </c>
      <c r="O58" s="15" t="inlineStr">
        <is>
          <t>—</t>
        </is>
      </c>
      <c r="P58" s="15" t="n"/>
      <c r="Q58" s="36" t="inlineStr">
        <is>
          <t>https://drive.google.com/drive/folders/1tN0p4irbuw_o5J0hvRcxvQ-bGEOri3k1?usp=drive_link</t>
        </is>
      </c>
      <c r="R58" s="15" t="n">
        <v>83</v>
      </c>
    </row>
    <row r="59">
      <c r="A59" s="15" t="inlineStr">
        <is>
          <t>Kantah Kabupaten Gorontalo</t>
        </is>
      </c>
      <c r="B59" s="15" t="inlineStr">
        <is>
          <t>PENGUNGKIT</t>
        </is>
      </c>
      <c r="C59" s="15" t="inlineStr">
        <is>
          <t>4</t>
        </is>
      </c>
      <c r="D59" s="15" t="inlineStr">
        <is>
          <t>PENGUATAN AKUNTABILITAS</t>
        </is>
      </c>
      <c r="E59" s="15" t="inlineStr">
        <is>
          <t>iii</t>
        </is>
      </c>
      <c r="F59" s="15" t="inlineStr">
        <is>
          <t>Pengaduan Masyarakat</t>
        </is>
      </c>
      <c r="G59" s="15" t="inlineStr">
        <is>
          <t>A.4.iii.b</t>
        </is>
      </c>
      <c r="H59" s="15" t="inlineStr">
        <is>
          <t>pengaduan masyarakat dtindaklanjuti</t>
        </is>
      </c>
      <c r="I59" s="15" t="inlineStr">
        <is>
          <t>Tidak</t>
        </is>
      </c>
      <c r="J59" s="15" t="n">
        <v>0</v>
      </c>
      <c r="K59" s="49" t="n"/>
      <c r="L59" s="15" t="inlineStr">
        <is>
          <t>2. Dokumentasi Penanganan Pengaduan Masyarakat</t>
        </is>
      </c>
      <c r="M59" s="15" t="inlineStr">
        <is>
          <t>—</t>
        </is>
      </c>
      <c r="N59" s="15" t="inlineStr">
        <is>
          <t>—</t>
        </is>
      </c>
      <c r="O59" s="15" t="inlineStr">
        <is>
          <t>—</t>
        </is>
      </c>
      <c r="P59" s="15" t="n"/>
      <c r="Q59" s="36" t="inlineStr">
        <is>
          <t>https://drive.google.com/drive/folders/1y-H7oR9o5_JEEDU-8_F5NXfCl45olcFB?usp=drive_link</t>
        </is>
      </c>
      <c r="R59" s="15" t="n">
        <v>84</v>
      </c>
    </row>
    <row r="60">
      <c r="A60" s="15" t="inlineStr">
        <is>
          <t>Kantah Kabupaten Gorontalo</t>
        </is>
      </c>
      <c r="B60" s="15" t="inlineStr">
        <is>
          <t>PENGUNGKIT</t>
        </is>
      </c>
      <c r="C60" s="15" t="inlineStr">
        <is>
          <t>4</t>
        </is>
      </c>
      <c r="D60" s="15" t="inlineStr">
        <is>
          <t>PENGUATAN AKUNTABILITAS</t>
        </is>
      </c>
      <c r="E60" s="15" t="inlineStr">
        <is>
          <t>iii</t>
        </is>
      </c>
      <c r="F60" s="15" t="inlineStr">
        <is>
          <t>Pengaduan Masyarakat</t>
        </is>
      </c>
      <c r="G60" s="15" t="inlineStr">
        <is>
          <t>A.4.iii.c</t>
        </is>
      </c>
      <c r="H60" s="15" t="inlineStr">
        <is>
          <t>Telah dilakukan monitoring dan evaluasi atas penanganan pengaduan masyarakat</t>
        </is>
      </c>
      <c r="I60" s="15" t="inlineStr">
        <is>
          <t>C</t>
        </is>
      </c>
      <c r="J60" s="15" t="n">
        <v>0</v>
      </c>
      <c r="K60" s="49" t="n"/>
      <c r="L60" s="15" t="inlineStr">
        <is>
          <t>3. Inovasi Penanganan Pengaduan Masyarakat</t>
        </is>
      </c>
      <c r="M60" s="15" t="inlineStr">
        <is>
          <t>—</t>
        </is>
      </c>
      <c r="N60" s="15" t="inlineStr">
        <is>
          <t>—</t>
        </is>
      </c>
      <c r="O60" s="15" t="inlineStr">
        <is>
          <t>—</t>
        </is>
      </c>
      <c r="P60" s="15" t="n"/>
      <c r="Q60" s="36" t="inlineStr">
        <is>
          <t>https://drive.google.com/drive/folders/1kBoi4f2hqbsxzlVunpNUBgXUhbT1hXJW?usp=drive_link</t>
        </is>
      </c>
      <c r="R60" s="15" t="n">
        <v>85</v>
      </c>
    </row>
    <row r="61">
      <c r="A61" s="15" t="inlineStr">
        <is>
          <t>Kantah Kabupaten Gorontalo</t>
        </is>
      </c>
      <c r="B61" s="15" t="inlineStr">
        <is>
          <t>PENGUNGKIT</t>
        </is>
      </c>
      <c r="C61" s="15" t="inlineStr">
        <is>
          <t>4</t>
        </is>
      </c>
      <c r="D61" s="15" t="inlineStr">
        <is>
          <t>PENGUATAN AKUNTABILITAS</t>
        </is>
      </c>
      <c r="E61" s="15" t="inlineStr">
        <is>
          <t>iii</t>
        </is>
      </c>
      <c r="F61" s="15" t="inlineStr">
        <is>
          <t>Pengaduan Masyarakat</t>
        </is>
      </c>
      <c r="G61" s="15" t="inlineStr">
        <is>
          <t>A.4.iii.d</t>
        </is>
      </c>
      <c r="H61" s="15" t="inlineStr">
        <is>
          <t>Hasil evaluasi atas penanganan pengaduan masyarakat telah ditindaklanjuti</t>
        </is>
      </c>
      <c r="I61" s="15" t="inlineStr">
        <is>
          <t>B</t>
        </is>
      </c>
      <c r="J61" s="15" t="n">
        <v>0.5</v>
      </c>
      <c r="K61" s="49" t="n"/>
      <c r="L61" s="15" t="inlineStr">
        <is>
          <t>4. Foto Loket Pengaduan</t>
        </is>
      </c>
      <c r="M61" s="15" t="inlineStr">
        <is>
          <t>—</t>
        </is>
      </c>
      <c r="N61" s="15" t="inlineStr">
        <is>
          <t>—</t>
        </is>
      </c>
      <c r="O61" s="15" t="inlineStr">
        <is>
          <t>—</t>
        </is>
      </c>
      <c r="P61" s="15" t="n"/>
      <c r="Q61" s="36" t="inlineStr">
        <is>
          <t>https://drive.google.com/drive/folders/1G1cyh4rswpGeeXTVBeZD-1oQMJkHN2LQ?usp=drive_link</t>
        </is>
      </c>
      <c r="R61" s="15" t="n">
        <v>86</v>
      </c>
    </row>
    <row r="62">
      <c r="A62" s="15" t="inlineStr">
        <is>
          <t>Kantah Kabupaten Gorontalo</t>
        </is>
      </c>
      <c r="B62" s="15" t="inlineStr">
        <is>
          <t>PENGUNGKIT</t>
        </is>
      </c>
      <c r="C62" s="15" t="inlineStr">
        <is>
          <t>4</t>
        </is>
      </c>
      <c r="D62" s="15" t="inlineStr">
        <is>
          <t>PENGUATAN AKUNTABILITAS</t>
        </is>
      </c>
      <c r="E62" s="15" t="inlineStr">
        <is>
          <t>iv</t>
        </is>
      </c>
      <c r="F62" s="15" t="inlineStr">
        <is>
          <t>Whistle-Blowing System</t>
        </is>
      </c>
      <c r="G62" s="15" t="inlineStr">
        <is>
          <t>A.4.iv.a</t>
        </is>
      </c>
      <c r="H62" s="15" t="inlineStr">
        <is>
          <t>Whistle-Blowing System telah diterapkan</t>
        </is>
      </c>
      <c r="I62" s="15" t="inlineStr">
        <is>
          <t>B</t>
        </is>
      </c>
      <c r="J62" s="15" t="n">
        <v>0.5</v>
      </c>
      <c r="K62" s="49" t="n"/>
      <c r="L62" s="15" t="n"/>
      <c r="M62" s="15" t="inlineStr">
        <is>
          <t>—</t>
        </is>
      </c>
      <c r="N62" s="15" t="inlineStr">
        <is>
          <t>—</t>
        </is>
      </c>
      <c r="O62" s="15" t="inlineStr">
        <is>
          <t>—</t>
        </is>
      </c>
      <c r="P62" s="15" t="n"/>
      <c r="Q62" s="36" t="inlineStr">
        <is>
          <t>https://drive.google.com/drive/folders/19wADfIDJtLaVLB_9JiyjOVz3bP064Y8q?usp=drive_link</t>
        </is>
      </c>
      <c r="R62" s="15" t="n">
        <v>88</v>
      </c>
    </row>
    <row r="63">
      <c r="A63" s="15" t="inlineStr">
        <is>
          <t>Kantah Kabupaten Gorontalo</t>
        </is>
      </c>
      <c r="B63" s="15" t="inlineStr">
        <is>
          <t>PENGUNGKIT</t>
        </is>
      </c>
      <c r="C63" s="15" t="inlineStr">
        <is>
          <t>4</t>
        </is>
      </c>
      <c r="D63" s="15" t="inlineStr">
        <is>
          <t>PENGUATAN AKUNTABILITAS</t>
        </is>
      </c>
      <c r="E63" s="15" t="inlineStr">
        <is>
          <t>iv</t>
        </is>
      </c>
      <c r="F63" s="15" t="inlineStr">
        <is>
          <t>Whistle-Blowing System</t>
        </is>
      </c>
      <c r="G63" s="15" t="inlineStr">
        <is>
          <t>A.4.iv.b</t>
        </is>
      </c>
      <c r="H63" s="15" t="inlineStr">
        <is>
          <t>Telah dilakukan evaluasi atas penerapan Whistle Blowing System</t>
        </is>
      </c>
      <c r="I63" s="15" t="inlineStr">
        <is>
          <t>B</t>
        </is>
      </c>
      <c r="J63" s="15" t="n">
        <v>0.5</v>
      </c>
      <c r="K63" s="49" t="n"/>
      <c r="L63" s="15" t="n"/>
      <c r="M63" s="15" t="inlineStr">
        <is>
          <t>—</t>
        </is>
      </c>
      <c r="N63" s="15" t="inlineStr">
        <is>
          <t>—</t>
        </is>
      </c>
      <c r="O63" s="15" t="inlineStr">
        <is>
          <t>—</t>
        </is>
      </c>
      <c r="P63" s="15" t="n"/>
      <c r="Q63" s="36" t="inlineStr">
        <is>
          <t>https://drive.google.com/drive/folders/1TryDP8iFeSTEQo9pOu1mnwUnjkugQlZr?usp=drive_link</t>
        </is>
      </c>
      <c r="R63" s="15" t="n">
        <v>89</v>
      </c>
    </row>
    <row r="64">
      <c r="A64" s="15" t="inlineStr">
        <is>
          <t>Kantah Kabupaten Gorontalo</t>
        </is>
      </c>
      <c r="B64" s="15" t="inlineStr">
        <is>
          <t>PENGUNGKIT</t>
        </is>
      </c>
      <c r="C64" s="15" t="inlineStr">
        <is>
          <t>4</t>
        </is>
      </c>
      <c r="D64" s="15" t="inlineStr">
        <is>
          <t>PENGUATAN AKUNTABILITAS</t>
        </is>
      </c>
      <c r="E64" s="15" t="inlineStr">
        <is>
          <t>iv</t>
        </is>
      </c>
      <c r="F64" s="15" t="inlineStr">
        <is>
          <t>Whistle-Blowing System</t>
        </is>
      </c>
      <c r="G64" s="15" t="inlineStr">
        <is>
          <t>A.4.iv.c</t>
        </is>
      </c>
      <c r="H64" s="15" t="inlineStr">
        <is>
          <t>Hasil evaluasi atas penerapan Whistle Blowing System telah ditindaklanjuti</t>
        </is>
      </c>
      <c r="I64" s="15" t="inlineStr">
        <is>
          <t>B</t>
        </is>
      </c>
      <c r="J64" s="15" t="n">
        <v>0.5</v>
      </c>
      <c r="K64" s="49" t="n"/>
      <c r="L64" s="15" t="n"/>
      <c r="M64" s="15" t="inlineStr">
        <is>
          <t>—</t>
        </is>
      </c>
      <c r="N64" s="15" t="inlineStr">
        <is>
          <t>—</t>
        </is>
      </c>
      <c r="O64" s="15" t="inlineStr">
        <is>
          <t>—</t>
        </is>
      </c>
      <c r="P64" s="15" t="n"/>
      <c r="Q64" s="36" t="inlineStr">
        <is>
          <t>https://drive.google.com/drive/folders/1VZZwghHGFYsdSqUoZACwDxaZ0M5EkBZ3?usp=drive_link</t>
        </is>
      </c>
      <c r="R64" s="15" t="n">
        <v>90</v>
      </c>
    </row>
    <row r="65">
      <c r="A65" s="15" t="inlineStr">
        <is>
          <t>Kantah Kabupaten Gorontalo</t>
        </is>
      </c>
      <c r="B65" s="15" t="inlineStr">
        <is>
          <t>PENGUNGKIT</t>
        </is>
      </c>
      <c r="C65" s="15" t="inlineStr">
        <is>
          <t>4</t>
        </is>
      </c>
      <c r="D65" s="15" t="inlineStr">
        <is>
          <t>PENGUATAN AKUNTABILITAS</t>
        </is>
      </c>
      <c r="E65" s="15" t="inlineStr">
        <is>
          <t>v</t>
        </is>
      </c>
      <c r="F65" s="15" t="inlineStr">
        <is>
          <t>Penanganan Benturan Kepentingan</t>
        </is>
      </c>
      <c r="G65" s="15" t="inlineStr">
        <is>
          <t>A.4.v.a</t>
        </is>
      </c>
      <c r="H65" s="15" t="inlineStr">
        <is>
          <t>Telah terdapat identifikasi/pemetaan benturan kepentingan dalam tugas fungsi utama</t>
        </is>
      </c>
      <c r="I65" s="15" t="inlineStr">
        <is>
          <t>B</t>
        </is>
      </c>
      <c r="J65" s="15" t="n">
        <v>0.67</v>
      </c>
      <c r="K65" s="49" t="n"/>
      <c r="L65" s="15" t="n"/>
      <c r="M65" s="15" t="inlineStr">
        <is>
          <t>—</t>
        </is>
      </c>
      <c r="N65" s="15" t="inlineStr">
        <is>
          <t>—</t>
        </is>
      </c>
      <c r="O65" s="15" t="inlineStr">
        <is>
          <t>—</t>
        </is>
      </c>
      <c r="P65" s="15" t="n"/>
      <c r="Q65" s="36" t="inlineStr">
        <is>
          <t>https://drive.google.com/drive/folders/1RyPGuAL-QsEQ6HJRI2tBLUIjfTsjR4Xs?usp=drive_link</t>
        </is>
      </c>
      <c r="R65" s="15" t="n">
        <v>92</v>
      </c>
    </row>
    <row r="66">
      <c r="A66" s="15" t="inlineStr">
        <is>
          <t>Kantah Kabupaten Gorontalo</t>
        </is>
      </c>
      <c r="B66" s="15" t="inlineStr">
        <is>
          <t>PENGUNGKIT</t>
        </is>
      </c>
      <c r="C66" s="15" t="inlineStr">
        <is>
          <t>4</t>
        </is>
      </c>
      <c r="D66" s="15" t="inlineStr">
        <is>
          <t>PENGUATAN AKUNTABILITAS</t>
        </is>
      </c>
      <c r="E66" s="15" t="inlineStr">
        <is>
          <t>v</t>
        </is>
      </c>
      <c r="F66" s="15" t="inlineStr">
        <is>
          <t>Penanganan Benturan Kepentingan</t>
        </is>
      </c>
      <c r="G66" s="15" t="inlineStr">
        <is>
          <t>A.4.v.b</t>
        </is>
      </c>
      <c r="H66" s="15" t="inlineStr">
        <is>
          <t>Penanganan Benturan Kepentingan telah disosialisasikan/internalisasi</t>
        </is>
      </c>
      <c r="I66" s="15" t="inlineStr">
        <is>
          <t>B</t>
        </is>
      </c>
      <c r="J66" s="15" t="n">
        <v>0.67</v>
      </c>
      <c r="K66" s="49" t="n"/>
      <c r="L66" s="15" t="n"/>
      <c r="M66" s="15" t="inlineStr">
        <is>
          <t>—</t>
        </is>
      </c>
      <c r="N66" s="15" t="inlineStr">
        <is>
          <t>—</t>
        </is>
      </c>
      <c r="O66" s="15" t="inlineStr">
        <is>
          <t>—</t>
        </is>
      </c>
      <c r="P66" s="15" t="n"/>
      <c r="Q66" s="36" t="inlineStr">
        <is>
          <t>https://drive.google.com/drive/folders/1C26qvnFwxWx2I-una85a35fkxCzLULyl?usp=drive_link</t>
        </is>
      </c>
      <c r="R66" s="15" t="n">
        <v>93</v>
      </c>
    </row>
    <row r="67">
      <c r="A67" s="15" t="inlineStr">
        <is>
          <t>Kantah Kabupaten Gorontalo</t>
        </is>
      </c>
      <c r="B67" s="15" t="inlineStr">
        <is>
          <t>PENGUNGKIT</t>
        </is>
      </c>
      <c r="C67" s="15" t="inlineStr">
        <is>
          <t>4</t>
        </is>
      </c>
      <c r="D67" s="15" t="inlineStr">
        <is>
          <t>PENGUATAN AKUNTABILITAS</t>
        </is>
      </c>
      <c r="E67" s="15" t="inlineStr">
        <is>
          <t>v</t>
        </is>
      </c>
      <c r="F67" s="15" t="inlineStr">
        <is>
          <t>Penanganan Benturan Kepentingan</t>
        </is>
      </c>
      <c r="G67" s="15" t="inlineStr">
        <is>
          <t>A.4.v.c</t>
        </is>
      </c>
      <c r="H67" s="15" t="inlineStr">
        <is>
          <t>Penanganan Benturan Kepentingan telah diimplementasikan</t>
        </is>
      </c>
      <c r="I67" s="15" t="inlineStr">
        <is>
          <t>B</t>
        </is>
      </c>
      <c r="J67" s="15" t="n">
        <v>0.67</v>
      </c>
      <c r="K67" s="49" t="n"/>
      <c r="L67" s="15" t="n"/>
      <c r="M67" s="15" t="inlineStr">
        <is>
          <t>—</t>
        </is>
      </c>
      <c r="N67" s="15" t="inlineStr">
        <is>
          <t>—</t>
        </is>
      </c>
      <c r="O67" s="15" t="inlineStr">
        <is>
          <t>—</t>
        </is>
      </c>
      <c r="P67" s="15" t="n"/>
      <c r="Q67" s="36" t="inlineStr">
        <is>
          <t>https://drive.google.com/drive/folders/1aGCzctgbrfICbFywjXu_6PUqI0aghcsV?usp=drive_link</t>
        </is>
      </c>
      <c r="R67" s="15" t="n">
        <v>94</v>
      </c>
    </row>
    <row r="68">
      <c r="A68" s="15" t="inlineStr">
        <is>
          <t>Kantah Kabupaten Gorontalo</t>
        </is>
      </c>
      <c r="B68" s="15" t="inlineStr">
        <is>
          <t>PENGUNGKIT</t>
        </is>
      </c>
      <c r="C68" s="15" t="inlineStr">
        <is>
          <t>4</t>
        </is>
      </c>
      <c r="D68" s="15" t="inlineStr">
        <is>
          <t>PENGUATAN AKUNTABILITAS</t>
        </is>
      </c>
      <c r="E68" s="15" t="inlineStr">
        <is>
          <t>v</t>
        </is>
      </c>
      <c r="F68" s="15" t="inlineStr">
        <is>
          <t>Penanganan Benturan Kepentingan</t>
        </is>
      </c>
      <c r="G68" s="15" t="inlineStr">
        <is>
          <t>A.4.v.d</t>
        </is>
      </c>
      <c r="H68" s="15" t="inlineStr">
        <is>
          <t>Telah dilakukan evaluasi atas Penanganan Benturan Kepentingan</t>
        </is>
      </c>
      <c r="I68" s="15" t="inlineStr">
        <is>
          <t>B</t>
        </is>
      </c>
      <c r="J68" s="15" t="n">
        <v>0.5</v>
      </c>
      <c r="K68" s="49" t="n"/>
      <c r="L68" s="15" t="n"/>
      <c r="M68" s="15" t="inlineStr">
        <is>
          <t>—</t>
        </is>
      </c>
      <c r="N68" s="15" t="inlineStr">
        <is>
          <t>—</t>
        </is>
      </c>
      <c r="O68" s="15" t="inlineStr">
        <is>
          <t>—</t>
        </is>
      </c>
      <c r="P68" s="15" t="n"/>
      <c r="Q68" s="36" t="inlineStr">
        <is>
          <t>https://drive.google.com/drive/folders/1_T6wS_1E2oDN-q22H5iYp6RMUWvo1U7S?usp=drive_link</t>
        </is>
      </c>
      <c r="R68" s="15" t="n">
        <v>95</v>
      </c>
    </row>
    <row r="69">
      <c r="A69" s="15" t="inlineStr">
        <is>
          <t>Kantah Kabupaten Gorontalo</t>
        </is>
      </c>
      <c r="B69" s="15" t="inlineStr">
        <is>
          <t>PENGUNGKIT</t>
        </is>
      </c>
      <c r="C69" s="15" t="inlineStr">
        <is>
          <t>4</t>
        </is>
      </c>
      <c r="D69" s="15" t="inlineStr">
        <is>
          <t>PENGUATAN AKUNTABILITAS</t>
        </is>
      </c>
      <c r="E69" s="15" t="inlineStr">
        <is>
          <t>v</t>
        </is>
      </c>
      <c r="F69" s="15" t="inlineStr">
        <is>
          <t>Penanganan Benturan Kepentingan</t>
        </is>
      </c>
      <c r="G69" s="15" t="inlineStr">
        <is>
          <t>A.4.v.e</t>
        </is>
      </c>
      <c r="H69" s="15" t="inlineStr">
        <is>
          <t>Hasil evaluasi atas Penanganan Benturan Kepentingan telah ditindaklanjuti</t>
        </is>
      </c>
      <c r="I69" s="15" t="inlineStr">
        <is>
          <t>B</t>
        </is>
      </c>
      <c r="J69" s="15" t="n">
        <v>0.5</v>
      </c>
      <c r="K69" s="49" t="n"/>
      <c r="L69" s="15" t="n"/>
      <c r="M69" s="15" t="inlineStr">
        <is>
          <t>—</t>
        </is>
      </c>
      <c r="N69" s="15" t="inlineStr">
        <is>
          <t>—</t>
        </is>
      </c>
      <c r="O69" s="15" t="inlineStr">
        <is>
          <t>—</t>
        </is>
      </c>
      <c r="P69" s="15" t="n"/>
      <c r="Q69" s="36" t="inlineStr">
        <is>
          <t>https://drive.google.com/drive/folders/1JCoOob1CEesweI5Pg6-3tedaFWfMQVZL?usp=drive_link</t>
        </is>
      </c>
      <c r="R69" s="15" t="n">
        <v>96</v>
      </c>
    </row>
    <row r="70">
      <c r="A70" s="15" t="inlineStr">
        <is>
          <t>Kantah Kabupaten Gorontalo</t>
        </is>
      </c>
      <c r="B70" s="15" t="inlineStr">
        <is>
          <t>PENGUNGKIT</t>
        </is>
      </c>
      <c r="C70" s="15" t="inlineStr">
        <is>
          <t>6</t>
        </is>
      </c>
      <c r="D70" s="15" t="inlineStr">
        <is>
          <t>PENINGKATAN KUALITAS PELAYANAN PUBLIK</t>
        </is>
      </c>
      <c r="E70" s="15" t="inlineStr">
        <is>
          <t>i</t>
        </is>
      </c>
      <c r="F70" s="15" t="inlineStr">
        <is>
          <t>Standar Pelayanan</t>
        </is>
      </c>
      <c r="G70" s="15" t="inlineStr">
        <is>
          <t>A.6.i.a</t>
        </is>
      </c>
      <c r="H70" s="15" t="inlineStr">
        <is>
          <t>Terdapat kebijakan standar pelayanan</t>
        </is>
      </c>
      <c r="I70" s="15" t="inlineStr">
        <is>
          <t>B</t>
        </is>
      </c>
      <c r="J70" s="15" t="n">
        <v>0.75</v>
      </c>
      <c r="K70" s="49" t="n"/>
      <c r="L70" s="15" t="inlineStr">
        <is>
          <t>alur berkas belum ada</t>
        </is>
      </c>
      <c r="M70" s="15" t="inlineStr">
        <is>
          <t>—</t>
        </is>
      </c>
      <c r="N70" s="15" t="inlineStr">
        <is>
          <t>—</t>
        </is>
      </c>
      <c r="O70" s="15" t="inlineStr">
        <is>
          <t>—</t>
        </is>
      </c>
      <c r="P70" s="15" t="n"/>
      <c r="Q70" s="36" t="inlineStr">
        <is>
          <t>https://drive.google.com/drive/folders/14KDBfTYEHKpsL8qETfxtKEDoNe3_zIYi</t>
        </is>
      </c>
      <c r="R70" s="15" t="n">
        <v>99</v>
      </c>
    </row>
    <row r="71">
      <c r="A71" s="15" t="inlineStr">
        <is>
          <t>Kantah Kabupaten Gorontalo</t>
        </is>
      </c>
      <c r="B71" s="15" t="inlineStr">
        <is>
          <t>PENGUNGKIT</t>
        </is>
      </c>
      <c r="C71" s="15" t="inlineStr">
        <is>
          <t>6</t>
        </is>
      </c>
      <c r="D71" s="15" t="inlineStr">
        <is>
          <t>PENINGKATAN KUALITAS PELAYANAN PUBLIK</t>
        </is>
      </c>
      <c r="E71" s="15" t="inlineStr">
        <is>
          <t>i</t>
        </is>
      </c>
      <c r="F71" s="15" t="inlineStr">
        <is>
          <t>Standar Pelayanan</t>
        </is>
      </c>
      <c r="G71" s="15" t="inlineStr">
        <is>
          <t>A.6.i.b</t>
        </is>
      </c>
      <c r="H71" s="15" t="inlineStr">
        <is>
          <t>Standar pelayanan telah dimaklumatkan</t>
        </is>
      </c>
      <c r="I71" s="15" t="inlineStr">
        <is>
          <t>B</t>
        </is>
      </c>
      <c r="J71" s="15" t="n">
        <v>0.67</v>
      </c>
      <c r="K71" s="49" t="n"/>
      <c r="L71" s="15" t="inlineStr">
        <is>
          <t>yang diupload bukan foto maklumat layanan</t>
        </is>
      </c>
      <c r="M71" s="15" t="inlineStr">
        <is>
          <t>—</t>
        </is>
      </c>
      <c r="N71" s="15" t="inlineStr">
        <is>
          <t>—</t>
        </is>
      </c>
      <c r="O71" s="15" t="inlineStr">
        <is>
          <t>—</t>
        </is>
      </c>
      <c r="P71" s="15" t="n"/>
      <c r="Q71" s="36" t="inlineStr">
        <is>
          <t>https://drive.google.com/drive/folders/1vlU_YF9SW1Yfbg-90GyjM7q63ncVsYPW</t>
        </is>
      </c>
      <c r="R71" s="15" t="n">
        <v>100</v>
      </c>
    </row>
    <row r="72">
      <c r="A72" s="15" t="inlineStr">
        <is>
          <t>Kantah Kabupaten Gorontalo</t>
        </is>
      </c>
      <c r="B72" s="15" t="inlineStr">
        <is>
          <t>PENGUNGKIT</t>
        </is>
      </c>
      <c r="C72" s="15" t="inlineStr">
        <is>
          <t>6</t>
        </is>
      </c>
      <c r="D72" s="15" t="inlineStr">
        <is>
          <t>PENINGKATAN KUALITAS PELAYANAN PUBLIK</t>
        </is>
      </c>
      <c r="E72" s="15" t="inlineStr">
        <is>
          <t>i</t>
        </is>
      </c>
      <c r="F72" s="15" t="inlineStr">
        <is>
          <t>Standar Pelayanan</t>
        </is>
      </c>
      <c r="G72" s="15" t="inlineStr">
        <is>
          <t>A.6.i.c</t>
        </is>
      </c>
      <c r="H72" s="15" t="inlineStr">
        <is>
          <t>Dilakukan reviu dan perbaikan atas standar pelayanan</t>
        </is>
      </c>
      <c r="I72" s="15" t="inlineStr">
        <is>
          <t>B</t>
        </is>
      </c>
      <c r="J72" s="15" t="n">
        <v>0.67</v>
      </c>
      <c r="K72" s="49" t="n"/>
      <c r="L72" s="15" t="inlineStr">
        <is>
          <t>Belum ada dokumen SOP terkait inovasi standar layanan pertanahan</t>
        </is>
      </c>
      <c r="M72" s="15" t="inlineStr">
        <is>
          <t>—</t>
        </is>
      </c>
      <c r="N72" s="15" t="inlineStr">
        <is>
          <t>—</t>
        </is>
      </c>
      <c r="O72" s="15" t="inlineStr">
        <is>
          <t>—</t>
        </is>
      </c>
      <c r="P72" s="15" t="n"/>
      <c r="Q72" s="36" t="inlineStr">
        <is>
          <t>https://drive.google.com/drive/folders/1dDJ46ZfCiYDdQvDpuiW8Irn-ncOSSPN_</t>
        </is>
      </c>
      <c r="R72" s="15" t="n">
        <v>101</v>
      </c>
    </row>
    <row r="73">
      <c r="A73" s="15" t="inlineStr">
        <is>
          <t>Kantah Kabupaten Gorontalo</t>
        </is>
      </c>
      <c r="B73" s="15" t="inlineStr">
        <is>
          <t>PENGUNGKIT</t>
        </is>
      </c>
      <c r="C73" s="15" t="inlineStr">
        <is>
          <t>6</t>
        </is>
      </c>
      <c r="D73" s="15" t="inlineStr">
        <is>
          <t>PENINGKATAN KUALITAS PELAYANAN PUBLIK</t>
        </is>
      </c>
      <c r="E73" s="15" t="inlineStr">
        <is>
          <t>i</t>
        </is>
      </c>
      <c r="F73" s="15" t="inlineStr">
        <is>
          <t>Standar Pelayanan</t>
        </is>
      </c>
      <c r="G73" s="15" t="inlineStr">
        <is>
          <t>A.6.i.d</t>
        </is>
      </c>
      <c r="H73" s="15" t="inlineStr">
        <is>
          <t>telah melakukan publikasi atas standar pelayanan dan maklumat pelayanan</t>
        </is>
      </c>
      <c r="I73" s="15" t="inlineStr">
        <is>
          <t>ya</t>
        </is>
      </c>
      <c r="J73" s="15" t="n">
        <v>1</v>
      </c>
      <c r="K73" s="49" t="n"/>
      <c r="L73" s="15" t="n"/>
      <c r="M73" s="15" t="inlineStr">
        <is>
          <t>—</t>
        </is>
      </c>
      <c r="N73" s="15" t="inlineStr">
        <is>
          <t>—</t>
        </is>
      </c>
      <c r="O73" s="15" t="inlineStr">
        <is>
          <t>—</t>
        </is>
      </c>
      <c r="P73" s="15" t="n"/>
      <c r="Q73" s="36" t="inlineStr">
        <is>
          <t>https://drive.google.com/drive/folders/1GSgtaY5IfFCL5kdU9tCY7BbyCb_3W1at</t>
        </is>
      </c>
      <c r="R73" s="15" t="n">
        <v>102</v>
      </c>
    </row>
    <row r="74">
      <c r="A74" s="15" t="inlineStr">
        <is>
          <t>Kantah Kabupaten Gorontalo</t>
        </is>
      </c>
      <c r="B74" s="15" t="inlineStr">
        <is>
          <t>PENGUNGKIT</t>
        </is>
      </c>
      <c r="C74" s="15" t="inlineStr">
        <is>
          <t>6</t>
        </is>
      </c>
      <c r="D74" s="15" t="inlineStr">
        <is>
          <t>PENINGKATAN KUALITAS PELAYANAN PUBLIK</t>
        </is>
      </c>
      <c r="E74" s="15" t="inlineStr">
        <is>
          <t>ii</t>
        </is>
      </c>
      <c r="F74" s="15" t="inlineStr">
        <is>
          <t>Budaya Pelayanan Prima</t>
        </is>
      </c>
      <c r="G74" s="15" t="inlineStr">
        <is>
          <t>A.6.ii.a</t>
        </is>
      </c>
      <c r="H74" s="15" t="inlineStr">
        <is>
          <t>Telah dilakukan berbagai upaya peningkatan kemampuan dan/atau kompetensi tentang penerapan budaya pelayanan prima</t>
        </is>
      </c>
      <c r="I74" s="15" t="inlineStr">
        <is>
          <t>B</t>
        </is>
      </c>
      <c r="J74" s="15" t="n">
        <v>0.75</v>
      </c>
      <c r="K74" s="49" t="n"/>
      <c r="L74" s="15" t="inlineStr">
        <is>
          <t>undangan utk sosialisasi pelayanan front office  tapi ST dan sertifikat tentang diklat pemberdayaan.</t>
        </is>
      </c>
      <c r="M74" s="15" t="inlineStr">
        <is>
          <t>—</t>
        </is>
      </c>
      <c r="N74" s="15" t="inlineStr">
        <is>
          <t>—</t>
        </is>
      </c>
      <c r="O74" s="15" t="inlineStr">
        <is>
          <t>—</t>
        </is>
      </c>
      <c r="P74" s="15" t="n"/>
      <c r="Q74" s="36" t="inlineStr">
        <is>
          <t>https://drive.google.com/drive/folders/1_fAvZgICJb_SMkVVyiS3-G-3CyB8Owbo</t>
        </is>
      </c>
      <c r="R74" s="15" t="n">
        <v>104</v>
      </c>
    </row>
    <row r="75">
      <c r="A75" s="15" t="inlineStr">
        <is>
          <t>Kantah Kabupaten Gorontalo</t>
        </is>
      </c>
      <c r="B75" s="15" t="inlineStr">
        <is>
          <t>PENGUNGKIT</t>
        </is>
      </c>
      <c r="C75" s="15" t="inlineStr">
        <is>
          <t>6</t>
        </is>
      </c>
      <c r="D75" s="15" t="inlineStr">
        <is>
          <t>PENINGKATAN KUALITAS PELAYANAN PUBLIK</t>
        </is>
      </c>
      <c r="E75" s="15" t="inlineStr">
        <is>
          <t>ii</t>
        </is>
      </c>
      <c r="F75" s="15" t="inlineStr">
        <is>
          <t>Budaya Pelayanan Prima</t>
        </is>
      </c>
      <c r="G75" s="15" t="inlineStr">
        <is>
          <t>A.6.ii.b</t>
        </is>
      </c>
      <c r="H75" s="15" t="inlineStr">
        <is>
          <t>Informasi tentang pelayanan mudah diakses melalui berbagai media</t>
        </is>
      </c>
      <c r="I75" s="15" t="inlineStr">
        <is>
          <t>A</t>
        </is>
      </c>
      <c r="J75" s="15" t="n">
        <v>1</v>
      </c>
      <c r="K75" s="49" t="n"/>
      <c r="L75" s="15" t="n"/>
      <c r="M75" s="15" t="inlineStr">
        <is>
          <t>—</t>
        </is>
      </c>
      <c r="N75" s="15" t="inlineStr">
        <is>
          <t>—</t>
        </is>
      </c>
      <c r="O75" s="15" t="inlineStr">
        <is>
          <t>—</t>
        </is>
      </c>
      <c r="P75" s="15" t="n"/>
      <c r="Q75" s="36" t="inlineStr">
        <is>
          <t>https://drive.google.com/drive/folders/1SxqgJgVMScR_yrncO_Lp6vgk2ImBVh5v</t>
        </is>
      </c>
      <c r="R75" s="15" t="n">
        <v>105</v>
      </c>
    </row>
    <row r="76">
      <c r="A76" s="15" t="inlineStr">
        <is>
          <t>Kantah Kabupaten Gorontalo</t>
        </is>
      </c>
      <c r="B76" s="15" t="inlineStr">
        <is>
          <t>PENGUNGKIT</t>
        </is>
      </c>
      <c r="C76" s="15" t="inlineStr">
        <is>
          <t>6</t>
        </is>
      </c>
      <c r="D76" s="15" t="inlineStr">
        <is>
          <t>PENINGKATAN KUALITAS PELAYANAN PUBLIK</t>
        </is>
      </c>
      <c r="E76" s="15" t="inlineStr">
        <is>
          <t>ii</t>
        </is>
      </c>
      <c r="F76" s="15" t="inlineStr">
        <is>
          <t>Budaya Pelayanan Prima</t>
        </is>
      </c>
      <c r="G76" s="15" t="inlineStr">
        <is>
          <t>A.6.ii.c</t>
        </is>
      </c>
      <c r="H76" s="15" t="inlineStr">
        <is>
          <t>Telah terdapat sistem pemberian penghargaan dan sanksi bagi petugas pemberi pelayanan</t>
        </is>
      </c>
      <c r="I76" s="15" t="inlineStr">
        <is>
          <t>A</t>
        </is>
      </c>
      <c r="J76" s="15" t="n">
        <v>1</v>
      </c>
      <c r="K76" s="49" t="n"/>
      <c r="L76" s="15" t="n"/>
      <c r="M76" s="15" t="inlineStr">
        <is>
          <t>—</t>
        </is>
      </c>
      <c r="N76" s="15" t="inlineStr">
        <is>
          <t>—</t>
        </is>
      </c>
      <c r="O76" s="15" t="inlineStr">
        <is>
          <t>—</t>
        </is>
      </c>
      <c r="P76" s="15" t="n"/>
      <c r="Q76" s="36" t="inlineStr">
        <is>
          <t>https://drive.google.com/drive/folders/1Yu52XL7vvaXXR1b8r5XHKhveP4HApi1y</t>
        </is>
      </c>
      <c r="R76" s="15" t="n">
        <v>106</v>
      </c>
    </row>
    <row r="77">
      <c r="A77" s="15" t="inlineStr">
        <is>
          <t>Kantah Kabupaten Gorontalo</t>
        </is>
      </c>
      <c r="B77" s="15" t="inlineStr">
        <is>
          <t>PENGUNGKIT</t>
        </is>
      </c>
      <c r="C77" s="15" t="inlineStr">
        <is>
          <t>6</t>
        </is>
      </c>
      <c r="D77" s="15" t="inlineStr">
        <is>
          <t>PENINGKATAN KUALITAS PELAYANAN PUBLIK</t>
        </is>
      </c>
      <c r="E77" s="15" t="inlineStr">
        <is>
          <t>ii</t>
        </is>
      </c>
      <c r="F77" s="15" t="inlineStr">
        <is>
          <t>Budaya Pelayanan Prima</t>
        </is>
      </c>
      <c r="G77" s="15" t="inlineStr">
        <is>
          <t>A.6.ii.d</t>
        </is>
      </c>
      <c r="H77" s="15" t="inlineStr">
        <is>
          <t>Telah terdapat sistem pemberian kompensasi kepada penerima layanan bila layanan tidak sesuai standar</t>
        </is>
      </c>
      <c r="I77" s="15" t="inlineStr">
        <is>
          <t>A</t>
        </is>
      </c>
      <c r="J77" s="15" t="n">
        <v>1</v>
      </c>
      <c r="K77" s="49" t="n"/>
      <c r="L77" s="15" t="n"/>
      <c r="M77" s="15" t="inlineStr">
        <is>
          <t>—</t>
        </is>
      </c>
      <c r="N77" s="15" t="inlineStr">
        <is>
          <t>—</t>
        </is>
      </c>
      <c r="O77" s="15" t="inlineStr">
        <is>
          <t>—</t>
        </is>
      </c>
      <c r="P77" s="15" t="n"/>
      <c r="Q77" s="36" t="inlineStr">
        <is>
          <t>https://drive.google.com/drive/folders/16KTDxKrkQ_Tetow92z6Cisk-5mnhFiBp</t>
        </is>
      </c>
      <c r="R77" s="15" t="n">
        <v>107</v>
      </c>
    </row>
    <row r="78">
      <c r="A78" s="15" t="inlineStr">
        <is>
          <t>Kantah Kabupaten Gorontalo</t>
        </is>
      </c>
      <c r="B78" s="15" t="inlineStr">
        <is>
          <t>PENGUNGKIT</t>
        </is>
      </c>
      <c r="C78" s="15" t="inlineStr">
        <is>
          <t>6</t>
        </is>
      </c>
      <c r="D78" s="15" t="inlineStr">
        <is>
          <t>PENINGKATAN KUALITAS PELAYANAN PUBLIK</t>
        </is>
      </c>
      <c r="E78" s="15" t="inlineStr">
        <is>
          <t>ii</t>
        </is>
      </c>
      <c r="F78" s="15" t="inlineStr">
        <is>
          <t>Budaya Pelayanan Prima</t>
        </is>
      </c>
      <c r="G78" s="15" t="inlineStr">
        <is>
          <t>A.6.ii.e</t>
        </is>
      </c>
      <c r="H78" s="15" t="inlineStr">
        <is>
          <t>Terdapat sarana layanan terpadu/terintegrasi</t>
        </is>
      </c>
      <c r="I78" s="15" t="inlineStr">
        <is>
          <t>A</t>
        </is>
      </c>
      <c r="J78" s="15" t="n">
        <v>1</v>
      </c>
      <c r="K78" s="49" t="n"/>
      <c r="L78" s="15" t="n"/>
      <c r="M78" s="15" t="inlineStr">
        <is>
          <t>—</t>
        </is>
      </c>
      <c r="N78" s="15" t="inlineStr">
        <is>
          <t>—</t>
        </is>
      </c>
      <c r="O78" s="15" t="inlineStr">
        <is>
          <t>—</t>
        </is>
      </c>
      <c r="P78" s="15" t="n"/>
      <c r="Q78" s="36" t="inlineStr">
        <is>
          <t>https://drive.google.com/drive/folders/1jY2_R0IiJJL_7Nlpd7N-duHzStsTSUHo</t>
        </is>
      </c>
      <c r="R78" s="15" t="n">
        <v>108</v>
      </c>
    </row>
    <row r="79">
      <c r="A79" s="15" t="inlineStr">
        <is>
          <t>Kantah Kabupaten Gorontalo</t>
        </is>
      </c>
      <c r="B79" s="15" t="inlineStr">
        <is>
          <t>PENGUNGKIT</t>
        </is>
      </c>
      <c r="C79" s="15" t="inlineStr">
        <is>
          <t>6</t>
        </is>
      </c>
      <c r="D79" s="15" t="inlineStr">
        <is>
          <t>PENINGKATAN KUALITAS PELAYANAN PUBLIK</t>
        </is>
      </c>
      <c r="E79" s="15" t="inlineStr">
        <is>
          <t>ii</t>
        </is>
      </c>
      <c r="F79" s="15" t="inlineStr">
        <is>
          <t>Budaya Pelayanan Prima</t>
        </is>
      </c>
      <c r="G79" s="15" t="inlineStr">
        <is>
          <t>A.6.ii.f</t>
        </is>
      </c>
      <c r="H79" s="15" t="inlineStr">
        <is>
          <t>Terdapat inovasi pelayanan</t>
        </is>
      </c>
      <c r="I79" s="15" t="inlineStr">
        <is>
          <t>A</t>
        </is>
      </c>
      <c r="J79" s="15" t="n">
        <v>1</v>
      </c>
      <c r="K79" s="49" t="n"/>
      <c r="L79" s="15" t="inlineStr">
        <is>
          <t>rekap pengguna inovasi KANTARA</t>
        </is>
      </c>
      <c r="M79" s="15" t="inlineStr">
        <is>
          <t>—</t>
        </is>
      </c>
      <c r="N79" s="15" t="inlineStr">
        <is>
          <t>—</t>
        </is>
      </c>
      <c r="O79" s="15" t="inlineStr">
        <is>
          <t>—</t>
        </is>
      </c>
      <c r="P79" s="15" t="n"/>
      <c r="Q79" s="36" t="inlineStr">
        <is>
          <t>https://drive.google.com/drive/folders/1G5UM3Lp8P2tRKC0-MdPLTv0NSm5WBLaM</t>
        </is>
      </c>
      <c r="R79" s="15" t="n">
        <v>109</v>
      </c>
    </row>
    <row r="80">
      <c r="A80" s="15" t="inlineStr">
        <is>
          <t>Kantah Kabupaten Gorontalo</t>
        </is>
      </c>
      <c r="B80" s="15" t="inlineStr">
        <is>
          <t>PENGUNGKIT</t>
        </is>
      </c>
      <c r="C80" s="15" t="inlineStr">
        <is>
          <t>6</t>
        </is>
      </c>
      <c r="D80" s="15" t="inlineStr">
        <is>
          <t>PENINGKATAN KUALITAS PELAYANAN PUBLIK</t>
        </is>
      </c>
      <c r="E80" s="15" t="inlineStr">
        <is>
          <t>iii</t>
        </is>
      </c>
      <c r="F80" s="15" t="inlineStr">
        <is>
          <t>Pengelolaan Pengaduan</t>
        </is>
      </c>
      <c r="G80" s="15" t="inlineStr">
        <is>
          <t>A.6.iii.a</t>
        </is>
      </c>
      <c r="H80" s="15" t="inlineStr">
        <is>
          <t>Terdapat media pengaduan dan konsultasi pelayanan yang terintegrasi dengan SP4N-Lapor!</t>
        </is>
      </c>
      <c r="I80" s="15" t="inlineStr">
        <is>
          <t>A</t>
        </is>
      </c>
      <c r="J80" s="15" t="n">
        <v>1</v>
      </c>
      <c r="K80" s="49" t="n"/>
      <c r="L80" s="15" t="n"/>
      <c r="M80" s="15" t="inlineStr">
        <is>
          <t>—</t>
        </is>
      </c>
      <c r="N80" s="15" t="inlineStr">
        <is>
          <t>—</t>
        </is>
      </c>
      <c r="O80" s="15" t="inlineStr">
        <is>
          <t>—</t>
        </is>
      </c>
      <c r="P80" s="15" t="n"/>
      <c r="Q80" s="36" t="inlineStr">
        <is>
          <t>https://drive.google.com/drive/folders/14gVQZrmuZBaBmeRGxxtQKkNCdOPh7fvD</t>
        </is>
      </c>
      <c r="R80" s="15" t="n">
        <v>111</v>
      </c>
    </row>
    <row r="81">
      <c r="A81" s="15" t="inlineStr">
        <is>
          <t>Kantah Kabupaten Gorontalo</t>
        </is>
      </c>
      <c r="B81" s="15" t="inlineStr">
        <is>
          <t>PENGUNGKIT</t>
        </is>
      </c>
      <c r="C81" s="15" t="inlineStr">
        <is>
          <t>6</t>
        </is>
      </c>
      <c r="D81" s="15" t="inlineStr">
        <is>
          <t>PENINGKATAN KUALITAS PELAYANAN PUBLIK</t>
        </is>
      </c>
      <c r="E81" s="15" t="inlineStr">
        <is>
          <t>iii</t>
        </is>
      </c>
      <c r="F81" s="15" t="inlineStr">
        <is>
          <t>Pengelolaan Pengaduan</t>
        </is>
      </c>
      <c r="G81" s="15" t="inlineStr">
        <is>
          <t>A.6.iii.b</t>
        </is>
      </c>
      <c r="H81" s="15" t="inlineStr">
        <is>
          <t>Terdapat unit yang mengelola pengaduan dan konsultasi pelayanan</t>
        </is>
      </c>
      <c r="I81" s="15" t="inlineStr">
        <is>
          <t>A</t>
        </is>
      </c>
      <c r="J81" s="15" t="n">
        <v>1</v>
      </c>
      <c r="K81" s="49" t="n"/>
      <c r="L81" s="15" t="n"/>
      <c r="M81" s="15" t="inlineStr">
        <is>
          <t>—</t>
        </is>
      </c>
      <c r="N81" s="15" t="inlineStr">
        <is>
          <t>—</t>
        </is>
      </c>
      <c r="O81" s="15" t="inlineStr">
        <is>
          <t>—</t>
        </is>
      </c>
      <c r="P81" s="15" t="n"/>
      <c r="Q81" s="36" t="inlineStr">
        <is>
          <t>https://drive.google.com/drive/folders/1xpOJuiHxL5WwLvniEDMh4rExLyY5wU_Z</t>
        </is>
      </c>
      <c r="R81" s="15" t="n">
        <v>112</v>
      </c>
    </row>
    <row r="82">
      <c r="A82" s="15" t="inlineStr">
        <is>
          <t>Kantah Kabupaten Gorontalo</t>
        </is>
      </c>
      <c r="B82" s="15" t="inlineStr">
        <is>
          <t>PENGUNGKIT</t>
        </is>
      </c>
      <c r="C82" s="15" t="inlineStr">
        <is>
          <t>6</t>
        </is>
      </c>
      <c r="D82" s="15" t="inlineStr">
        <is>
          <t>PENINGKATAN KUALITAS PELAYANAN PUBLIK</t>
        </is>
      </c>
      <c r="E82" s="15" t="inlineStr">
        <is>
          <t>iii</t>
        </is>
      </c>
      <c r="F82" s="15" t="inlineStr">
        <is>
          <t>Pengelolaan Pengaduan</t>
        </is>
      </c>
      <c r="G82" s="15" t="inlineStr">
        <is>
          <t>A.6.iii.c</t>
        </is>
      </c>
      <c r="H82" s="15" t="inlineStr">
        <is>
          <t>Telah dilakukan evaluasi atas penanganan keluhan/masukan dan konsultasi</t>
        </is>
      </c>
      <c r="I82" s="15" t="inlineStr">
        <is>
          <t>B</t>
        </is>
      </c>
      <c r="J82" s="15" t="n">
        <v>0.5</v>
      </c>
      <c r="K82" s="49" t="n"/>
      <c r="L82" s="15" t="inlineStr">
        <is>
          <t>Belum ada dokumen/ laporan penanganan pengaduan</t>
        </is>
      </c>
      <c r="M82" s="15" t="inlineStr">
        <is>
          <t>—</t>
        </is>
      </c>
      <c r="N82" s="15" t="inlineStr">
        <is>
          <t>—</t>
        </is>
      </c>
      <c r="O82" s="15" t="inlineStr">
        <is>
          <t>—</t>
        </is>
      </c>
      <c r="P82" s="15" t="n"/>
      <c r="Q82" s="36" t="inlineStr">
        <is>
          <t>https://drive.google.com/drive/folders/17SCnc95mW9aHA4VLW9JbSNmafld5peUe</t>
        </is>
      </c>
      <c r="R82" s="15" t="n">
        <v>113</v>
      </c>
    </row>
    <row r="83">
      <c r="A83" s="15" t="inlineStr">
        <is>
          <t>Kantah Kabupaten Gorontalo</t>
        </is>
      </c>
      <c r="B83" s="15" t="inlineStr">
        <is>
          <t>PENGUNGKIT</t>
        </is>
      </c>
      <c r="C83" s="15" t="inlineStr">
        <is>
          <t>6</t>
        </is>
      </c>
      <c r="D83" s="15" t="inlineStr">
        <is>
          <t>PENINGKATAN KUALITAS PELAYANAN PUBLIK</t>
        </is>
      </c>
      <c r="E83" s="15" t="inlineStr">
        <is>
          <t>iv</t>
        </is>
      </c>
      <c r="F83" s="15" t="inlineStr">
        <is>
          <t>Penilaian Kepuasan terhadap Pelayanan</t>
        </is>
      </c>
      <c r="G83" s="15" t="inlineStr">
        <is>
          <t>A.6.iv.a</t>
        </is>
      </c>
      <c r="H83" s="15" t="inlineStr">
        <is>
          <t>Telah dilakukan survey kepuasan masyarakat terhadap pelayanan</t>
        </is>
      </c>
      <c r="I83" s="15" t="inlineStr">
        <is>
          <t>A</t>
        </is>
      </c>
      <c r="J83" s="15" t="n">
        <v>1</v>
      </c>
      <c r="K83" s="49" t="n"/>
      <c r="L83" s="15" t="n"/>
      <c r="M83" s="15" t="inlineStr">
        <is>
          <t>—</t>
        </is>
      </c>
      <c r="N83" s="15" t="inlineStr">
        <is>
          <t>—</t>
        </is>
      </c>
      <c r="O83" s="15" t="inlineStr">
        <is>
          <t>—</t>
        </is>
      </c>
      <c r="P83" s="15" t="n"/>
      <c r="Q83" s="36" t="inlineStr">
        <is>
          <t>https://drive.google.com/drive/folders/19oIXkoV49m4t79Lar9zS-pOF_IGLntcS</t>
        </is>
      </c>
      <c r="R83" s="15" t="n">
        <v>115</v>
      </c>
    </row>
    <row r="84">
      <c r="A84" s="15" t="inlineStr">
        <is>
          <t>Kantah Kabupaten Gorontalo</t>
        </is>
      </c>
      <c r="B84" s="15" t="inlineStr">
        <is>
          <t>PENGUNGKIT</t>
        </is>
      </c>
      <c r="C84" s="15" t="inlineStr">
        <is>
          <t>6</t>
        </is>
      </c>
      <c r="D84" s="15" t="inlineStr">
        <is>
          <t>PENINGKATAN KUALITAS PELAYANAN PUBLIK</t>
        </is>
      </c>
      <c r="E84" s="15" t="inlineStr">
        <is>
          <t>iv</t>
        </is>
      </c>
      <c r="F84" s="15" t="inlineStr">
        <is>
          <t>Penilaian Kepuasan terhadap Pelayanan</t>
        </is>
      </c>
      <c r="G84" s="15" t="inlineStr">
        <is>
          <t>A.6.iv.b</t>
        </is>
      </c>
      <c r="H84" s="15" t="inlineStr">
        <is>
          <t>Hasil survei kepuasan masyarakat dapat diakses secara terbuka</t>
        </is>
      </c>
      <c r="I84" s="15" t="inlineStr">
        <is>
          <t>A</t>
        </is>
      </c>
      <c r="J84" s="15" t="n">
        <v>1</v>
      </c>
      <c r="K84" s="49" t="n"/>
      <c r="L84" s="15" t="n"/>
      <c r="M84" s="15" t="inlineStr">
        <is>
          <t>—</t>
        </is>
      </c>
      <c r="N84" s="15" t="inlineStr">
        <is>
          <t>—</t>
        </is>
      </c>
      <c r="O84" s="15" t="inlineStr">
        <is>
          <t>—</t>
        </is>
      </c>
      <c r="P84" s="15" t="n"/>
      <c r="Q84" s="36" t="inlineStr">
        <is>
          <t>https://drive.google.com/drive/folders/19Z2VEIKZBEhGYIcNvziZwdnmfvxml1Pl</t>
        </is>
      </c>
      <c r="R84" s="15" t="n">
        <v>116</v>
      </c>
    </row>
    <row r="85">
      <c r="A85" s="15" t="inlineStr">
        <is>
          <t>Kantah Kabupaten Gorontalo</t>
        </is>
      </c>
      <c r="B85" s="15" t="inlineStr">
        <is>
          <t>PENGUNGKIT</t>
        </is>
      </c>
      <c r="C85" s="15" t="inlineStr">
        <is>
          <t>6</t>
        </is>
      </c>
      <c r="D85" s="15" t="inlineStr">
        <is>
          <t>PENINGKATAN KUALITAS PELAYANAN PUBLIK</t>
        </is>
      </c>
      <c r="E85" s="15" t="inlineStr">
        <is>
          <t>iv</t>
        </is>
      </c>
      <c r="F85" s="15" t="inlineStr">
        <is>
          <t>Penilaian Kepuasan terhadap Pelayanan</t>
        </is>
      </c>
      <c r="G85" s="15" t="inlineStr">
        <is>
          <t>A.6.iv.c</t>
        </is>
      </c>
      <c r="H85" s="15" t="inlineStr">
        <is>
          <t>Dilakukan tindak lanjut atas hasil survei kepuasan masyarakat</t>
        </is>
      </c>
      <c r="I85" s="15" t="inlineStr">
        <is>
          <t>A</t>
        </is>
      </c>
      <c r="J85" s="15" t="n">
        <v>1</v>
      </c>
      <c r="K85" s="49" t="n"/>
      <c r="L85" s="15" t="n"/>
      <c r="M85" s="15" t="inlineStr">
        <is>
          <t>—</t>
        </is>
      </c>
      <c r="N85" s="15" t="inlineStr">
        <is>
          <t>—</t>
        </is>
      </c>
      <c r="O85" s="15" t="inlineStr">
        <is>
          <t>—</t>
        </is>
      </c>
      <c r="P85" s="15" t="n"/>
      <c r="Q85" s="36" t="inlineStr">
        <is>
          <t>https://drive.google.com/drive/folders/1x77fgsetHTAH48envHLyOQmZCJjjB0zk</t>
        </is>
      </c>
      <c r="R85" s="15" t="n">
        <v>117</v>
      </c>
    </row>
    <row r="86">
      <c r="A86" s="15" t="inlineStr">
        <is>
          <t>Kantah Kabupaten Gorontalo</t>
        </is>
      </c>
      <c r="B86" s="15" t="inlineStr">
        <is>
          <t>PENGUNGKIT</t>
        </is>
      </c>
      <c r="C86" s="15" t="inlineStr">
        <is>
          <t>6</t>
        </is>
      </c>
      <c r="D86" s="15" t="inlineStr">
        <is>
          <t>PENINGKATAN KUALITAS PELAYANAN PUBLIK</t>
        </is>
      </c>
      <c r="E86" s="15" t="inlineStr">
        <is>
          <t>v</t>
        </is>
      </c>
      <c r="F86" s="15" t="inlineStr">
        <is>
          <t>Pemanfaatan Teknologi Informasi</t>
        </is>
      </c>
      <c r="G86" s="15" t="inlineStr">
        <is>
          <t>A.6.v.a</t>
        </is>
      </c>
      <c r="H86" s="15" t="inlineStr">
        <is>
          <t>Telah menerapkan teknologi informasi dalam memberikan pelayanan</t>
        </is>
      </c>
      <c r="I86" s="15" t="inlineStr">
        <is>
          <t>A</t>
        </is>
      </c>
      <c r="J86" s="15" t="inlineStr">
        <is>
          <t xml:space="preserve">                                                                                                                                                                                                                                                                                                                                                                                                                                                                                                                                                                                                                                                                                                                                                                                                                                                                                                                                                                                                                                                                                                                                                                                                                                                                                                                                                                                                                                                                                                                                                                                                                                                                                                                                                                                                                                                                                                                                                                                                                                                                                                                                                                                                                                                                                                                                                                                                                                                                                                                                                                                                                                                                                                                                                                                                                                                                                                                                                                                                                                                                                                                                                                                                                                                                                                                                                                                                                                                                                                                                                                                                                                                                                                                                                                                                                                                                                                                                                                                                                                                                                                                                                                                                                                                                                                                                                                                                                                                                                                                                                                                                                                                                                                                                                                    </t>
        </is>
      </c>
      <c r="K86" s="49" t="n"/>
      <c r="L86" s="15" t="n"/>
      <c r="M86" s="15" t="inlineStr">
        <is>
          <t>—</t>
        </is>
      </c>
      <c r="N86" s="15" t="inlineStr">
        <is>
          <t>—</t>
        </is>
      </c>
      <c r="O86" s="15" t="inlineStr">
        <is>
          <t>—</t>
        </is>
      </c>
      <c r="P86" s="15" t="n"/>
      <c r="Q86" s="36" t="inlineStr">
        <is>
          <t>https://drive.google.com/drive/folders/1RbgPDdzyM9iLNkdmn5mIDfYAWL2YfUfy</t>
        </is>
      </c>
      <c r="R86" s="15" t="n">
        <v>119</v>
      </c>
    </row>
    <row r="87">
      <c r="A87" s="15" t="inlineStr">
        <is>
          <t>Kantah Kabupaten Gorontalo</t>
        </is>
      </c>
      <c r="B87" s="15" t="inlineStr">
        <is>
          <t>PENGUNGKIT</t>
        </is>
      </c>
      <c r="C87" s="15" t="inlineStr">
        <is>
          <t>6</t>
        </is>
      </c>
      <c r="D87" s="15" t="inlineStr">
        <is>
          <t>PENINGKATAN KUALITAS PELAYANAN PUBLIK</t>
        </is>
      </c>
      <c r="E87" s="15" t="inlineStr">
        <is>
          <t>v</t>
        </is>
      </c>
      <c r="F87" s="15" t="inlineStr">
        <is>
          <t>Pemanfaatan Teknologi Informasi</t>
        </is>
      </c>
      <c r="G87" s="15" t="inlineStr">
        <is>
          <t>A.6.v.c</t>
        </is>
      </c>
      <c r="H87" s="15" t="inlineStr">
        <is>
          <t>Telah membangun database pelayanan yang terintegrasi</t>
        </is>
      </c>
      <c r="I87" s="15" t="inlineStr">
        <is>
          <t>Ya</t>
        </is>
      </c>
      <c r="J87" s="15" t="n">
        <v>1</v>
      </c>
      <c r="K87" s="49" t="n"/>
      <c r="L87" s="15" t="n"/>
      <c r="M87" s="15" t="inlineStr">
        <is>
          <t>—</t>
        </is>
      </c>
      <c r="N87" s="15" t="inlineStr">
        <is>
          <t>—</t>
        </is>
      </c>
      <c r="O87" s="15" t="inlineStr">
        <is>
          <t>—</t>
        </is>
      </c>
      <c r="P87" s="15" t="n"/>
      <c r="Q87" s="36" t="inlineStr">
        <is>
          <t>https://drive.google.com/drive/folders/1RbgPDdzyM9iLNkdmn5mIDfYAWL2YfUfy</t>
        </is>
      </c>
      <c r="R87" s="15" t="n">
        <v>120</v>
      </c>
    </row>
    <row r="88">
      <c r="A88" s="15" t="inlineStr">
        <is>
          <t>Kantah Kabupaten Gorontalo</t>
        </is>
      </c>
      <c r="B88" s="15" t="inlineStr">
        <is>
          <t>PENGUNGKIT</t>
        </is>
      </c>
      <c r="C88" s="15" t="inlineStr">
        <is>
          <t>6</t>
        </is>
      </c>
      <c r="D88" s="15" t="inlineStr">
        <is>
          <t>PENINGKATAN KUALITAS PELAYANAN PUBLIK</t>
        </is>
      </c>
      <c r="E88" s="15" t="inlineStr">
        <is>
          <t>v</t>
        </is>
      </c>
      <c r="F88" s="15" t="inlineStr">
        <is>
          <t>Pemanfaatan Teknologi Informasi</t>
        </is>
      </c>
      <c r="G88" s="15" t="inlineStr">
        <is>
          <t>A.6.v.b</t>
        </is>
      </c>
      <c r="H88" s="15" t="inlineStr">
        <is>
          <t>Telah dilakukan perbaikan secara terus menerus</t>
        </is>
      </c>
      <c r="I88" s="15" t="inlineStr">
        <is>
          <t>A</t>
        </is>
      </c>
      <c r="J88" s="15" t="n">
        <v>1</v>
      </c>
      <c r="K88" s="49" t="n"/>
      <c r="L88" s="15" t="n"/>
      <c r="M88" s="15" t="inlineStr">
        <is>
          <t>—</t>
        </is>
      </c>
      <c r="N88" s="15" t="inlineStr">
        <is>
          <t>—</t>
        </is>
      </c>
      <c r="O88" s="15" t="inlineStr">
        <is>
          <t>—</t>
        </is>
      </c>
      <c r="P88" s="15" t="n"/>
      <c r="Q88" s="36" t="inlineStr">
        <is>
          <t>https://drive.google.com/drive/folders/1RbgPDdzyM9iLNkdmn5mIDfYAWL2YfUfy</t>
        </is>
      </c>
      <c r="R88" s="15" t="n">
        <v>121</v>
      </c>
    </row>
    <row r="89">
      <c r="A89" s="15" t="inlineStr">
        <is>
          <t>Kantah Kabupaten Gorontalo</t>
        </is>
      </c>
      <c r="B89" s="15" t="inlineStr">
        <is>
          <t>PENGUNGKIT</t>
        </is>
      </c>
      <c r="C89" s="15" t="inlineStr">
        <is>
          <t>1</t>
        </is>
      </c>
      <c r="D89" s="15" t="inlineStr">
        <is>
          <t>MANAJEMEN PERUBAHAN</t>
        </is>
      </c>
      <c r="E89" s="15" t="inlineStr">
        <is>
          <t>i</t>
        </is>
      </c>
      <c r="F89" s="15" t="inlineStr">
        <is>
          <t>Komitmen dalam perubahan</t>
        </is>
      </c>
      <c r="G89" s="15" t="inlineStr">
        <is>
          <t>A.1.i.a</t>
        </is>
      </c>
      <c r="H89" s="15" t="inlineStr">
        <is>
          <t>Agen perubahan telah membuat perubahan yang konkret di Instansi (dalam 1 tahun)</t>
        </is>
      </c>
      <c r="I89" s="15" t="n">
        <v>1</v>
      </c>
      <c r="J89" s="15" t="n">
        <v>1</v>
      </c>
      <c r="K89" s="49" t="n"/>
      <c r="L89" s="15" t="inlineStr">
        <is>
          <t>nilai masih mengacu pada Agen perubahan 2024 yaitu 2 orang namun tidak ada laporan perubahan ya ng dilanpirkan sehingga tidak dapat menunjukkan perubahan yang telah dilaksanakan</t>
        </is>
      </c>
      <c r="M89" s="15" t="inlineStr">
        <is>
          <t>—</t>
        </is>
      </c>
      <c r="N89" s="15" t="inlineStr">
        <is>
          <t>—</t>
        </is>
      </c>
      <c r="O89" s="15" t="inlineStr">
        <is>
          <t>—</t>
        </is>
      </c>
      <c r="P89" s="15" t="n"/>
      <c r="Q89" s="36" t="inlineStr">
        <is>
          <t>https://drive.google.com/drive/folders/1rWy6No1jMInRbtZV1exdkEyl-NrMaS7D?usp=sharing</t>
        </is>
      </c>
      <c r="R89" s="15" t="n">
        <v>125</v>
      </c>
    </row>
    <row r="90">
      <c r="A90" s="15" t="inlineStr">
        <is>
          <t>Kantah Kabupaten Gorontalo</t>
        </is>
      </c>
      <c r="B90" s="15" t="inlineStr">
        <is>
          <t>PENGUNGKIT</t>
        </is>
      </c>
      <c r="C90" s="15" t="inlineStr">
        <is>
          <t>1</t>
        </is>
      </c>
      <c r="D90" s="15" t="inlineStr">
        <is>
          <t>MANAJEMEN PERUBAHAN</t>
        </is>
      </c>
      <c r="E90" s="15" t="inlineStr">
        <is>
          <t>i</t>
        </is>
      </c>
      <c r="F90" s="15" t="inlineStr">
        <is>
          <t>Komitmen dalam perubahan</t>
        </is>
      </c>
      <c r="G90" s="15" t="inlineStr">
        <is>
          <t>A.1.i.b</t>
        </is>
      </c>
      <c r="H90" s="15" t="inlineStr">
        <is>
          <t>Perubahan yang dibuat Agen Perubahan telah terintegrasi dalam sistem manajemen</t>
        </is>
      </c>
      <c r="I90" s="15" t="n">
        <v>1</v>
      </c>
      <c r="J90" s="15" t="n">
        <v>1</v>
      </c>
      <c r="K90" s="49" t="n"/>
      <c r="L90" s="15" t="inlineStr">
        <is>
          <t>masih menggunakan angka 1 karena jika 0 maka nilai mnejadi error/div</t>
        </is>
      </c>
      <c r="M90" s="15" t="inlineStr">
        <is>
          <t>—</t>
        </is>
      </c>
      <c r="N90" s="15" t="inlineStr">
        <is>
          <t>—</t>
        </is>
      </c>
      <c r="O90" s="15" t="inlineStr">
        <is>
          <t>—</t>
        </is>
      </c>
      <c r="P90" s="15" t="n"/>
      <c r="Q90" s="36" t="inlineStr">
        <is>
          <t>https://drive.google.com/drive/folders/1cOOpuF1PTZkJRoDhQZTrHR6xPnYUHmBI?usp=sharing</t>
        </is>
      </c>
      <c r="R90" s="15" t="n">
        <v>128</v>
      </c>
    </row>
    <row r="91">
      <c r="A91" s="15" t="inlineStr">
        <is>
          <t>Kantah Kabupaten Gorontalo</t>
        </is>
      </c>
      <c r="B91" s="15" t="inlineStr">
        <is>
          <t>PENGUNGKIT</t>
        </is>
      </c>
      <c r="C91" s="15" t="inlineStr">
        <is>
          <t>1</t>
        </is>
      </c>
      <c r="D91" s="15" t="inlineStr">
        <is>
          <t>MANAJEMEN PERUBAHAN</t>
        </is>
      </c>
      <c r="E91" s="15" t="inlineStr">
        <is>
          <t>ii</t>
        </is>
      </c>
      <c r="F91" s="15" t="inlineStr">
        <is>
          <t>Komitmen Pimpinan</t>
        </is>
      </c>
      <c r="G91" s="15" t="inlineStr">
        <is>
          <t>A.1.ii.-</t>
        </is>
      </c>
      <c r="H91" s="15" t="inlineStr">
        <is>
          <t>Pimpinan memiliki komitmen terhadap pelaksanaan reformasi birokrasi, dengan adanya target capaian reformasi yang jelas di dokumen perencanaan</t>
        </is>
      </c>
      <c r="I91" s="15" t="inlineStr">
        <is>
          <t>B</t>
        </is>
      </c>
      <c r="J91" s="15" t="n">
        <v>0.75</v>
      </c>
      <c r="K91" s="49" t="n"/>
      <c r="L91" s="15" t="inlineStr">
        <is>
          <t xml:space="preserve">belum ada 2025 </t>
        </is>
      </c>
      <c r="M91" s="15" t="inlineStr">
        <is>
          <t>—</t>
        </is>
      </c>
      <c r="N91" s="15" t="inlineStr">
        <is>
          <t>—</t>
        </is>
      </c>
      <c r="O91" s="15" t="inlineStr">
        <is>
          <t>—</t>
        </is>
      </c>
      <c r="P91" s="15" t="n"/>
      <c r="Q91" s="36" t="inlineStr">
        <is>
          <t>https://drive.google.com/drive/folders/1LFwcKUtCSNwultOVovyVE-dvVKR8jWbv?usp=drive_link</t>
        </is>
      </c>
      <c r="R91" s="15" t="n">
        <v>132</v>
      </c>
    </row>
    <row r="92">
      <c r="A92" s="15" t="inlineStr">
        <is>
          <t>Kantah Kabupaten Gorontalo</t>
        </is>
      </c>
      <c r="B92" s="15" t="inlineStr">
        <is>
          <t>PENGUNGKIT</t>
        </is>
      </c>
      <c r="C92" s="15" t="inlineStr">
        <is>
          <t>1</t>
        </is>
      </c>
      <c r="D92" s="15" t="inlineStr">
        <is>
          <t>MANAJEMEN PERUBAHAN</t>
        </is>
      </c>
      <c r="E92" s="15" t="inlineStr">
        <is>
          <t>iii</t>
        </is>
      </c>
      <c r="F92" s="15" t="inlineStr">
        <is>
          <t>Membangun Budaya Kerja</t>
        </is>
      </c>
      <c r="G92" s="15" t="inlineStr">
        <is>
          <t>A.1.iii.-</t>
        </is>
      </c>
      <c r="H92" s="15" t="inlineStr">
        <is>
          <t>Instansi membangun budaya kerja positif dan menerapkan nilai-nilai organisasi dalam pelaksanaan tugas sehari-hari</t>
        </is>
      </c>
      <c r="I92" s="15" t="inlineStr">
        <is>
          <t>B</t>
        </is>
      </c>
      <c r="J92" s="15" t="n">
        <v>0.67</v>
      </c>
      <c r="K92" s="49" t="n"/>
      <c r="L92" s="15" t="n"/>
      <c r="M92" s="15" t="inlineStr">
        <is>
          <t>—</t>
        </is>
      </c>
      <c r="N92" s="15" t="inlineStr">
        <is>
          <t>—</t>
        </is>
      </c>
      <c r="O92" s="15" t="inlineStr">
        <is>
          <t>—</t>
        </is>
      </c>
      <c r="P92" s="15" t="n"/>
      <c r="Q92" s="36" t="inlineStr">
        <is>
          <t>https://drive.google.com/drive/folders/1U-DRXAeXjrhWnIrUVvl7HWEL4riqaVm7?usp=sharing</t>
        </is>
      </c>
      <c r="R92" s="15" t="n">
        <v>134</v>
      </c>
    </row>
    <row r="93">
      <c r="A93" s="15" t="inlineStr">
        <is>
          <t>Kantah Kabupaten Gorontalo</t>
        </is>
      </c>
      <c r="B93" s="15" t="inlineStr">
        <is>
          <t>PENGUNGKIT</t>
        </is>
      </c>
      <c r="C93" s="15" t="inlineStr">
        <is>
          <t>2</t>
        </is>
      </c>
      <c r="D93" s="15" t="inlineStr">
        <is>
          <t>PENATAAN TATALAKSANA</t>
        </is>
      </c>
      <c r="E93" s="15" t="inlineStr">
        <is>
          <t>i</t>
        </is>
      </c>
      <c r="F93" s="15" t="inlineStr">
        <is>
          <t>Peta Proses Bisnis Mempengaruhi Penyederhanaan Jabatan</t>
        </is>
      </c>
      <c r="G93" s="15" t="inlineStr">
        <is>
          <t>A.2.i.-</t>
        </is>
      </c>
      <c r="H93" s="15" t="inlineStr">
        <is>
          <t>Telah disusun peta proses bisnis dengan adanya penyederhanaan jabatan</t>
        </is>
      </c>
      <c r="I93" s="15" t="inlineStr">
        <is>
          <t>C</t>
        </is>
      </c>
      <c r="J93" s="15" t="n">
        <v>0.33</v>
      </c>
      <c r="K93" s="49" t="n"/>
      <c r="L93" s="15" t="inlineStr">
        <is>
          <t>Peta proses bisnis belum diupload</t>
        </is>
      </c>
      <c r="M93" s="15" t="inlineStr">
        <is>
          <t>—</t>
        </is>
      </c>
      <c r="N93" s="15" t="inlineStr">
        <is>
          <t>—</t>
        </is>
      </c>
      <c r="O93" s="15" t="inlineStr">
        <is>
          <t>—</t>
        </is>
      </c>
      <c r="P93" s="15" t="n"/>
      <c r="Q93" s="36" t="inlineStr">
        <is>
          <t>https://drive.google.com/drive/folders/1IsxuzzutVUALN6Grzr4OMdfWpLpeMhtU?usp=sharing</t>
        </is>
      </c>
      <c r="R93" s="15" t="n">
        <v>137</v>
      </c>
    </row>
    <row r="94">
      <c r="A94" s="15" t="inlineStr">
        <is>
          <t>Kantah Kabupaten Gorontalo</t>
        </is>
      </c>
      <c r="B94" s="15" t="inlineStr">
        <is>
          <t>PENGUNGKIT</t>
        </is>
      </c>
      <c r="C94" s="15" t="inlineStr">
        <is>
          <t>2</t>
        </is>
      </c>
      <c r="D94" s="15" t="inlineStr">
        <is>
          <t>PENATAAN TATALAKSANA</t>
        </is>
      </c>
      <c r="E94" s="15" t="inlineStr">
        <is>
          <t>ii</t>
        </is>
      </c>
      <c r="F94" s="15" t="inlineStr">
        <is>
          <t>Sistem Pemerintahan Berbasis Elektronik (SPBE) yang Terintegrasi</t>
        </is>
      </c>
      <c r="G94" s="15" t="inlineStr">
        <is>
          <t>A.2.ii.a</t>
        </is>
      </c>
      <c r="H94" s="15" t="inlineStr">
        <is>
          <t>Implementasi SPBE telah terintegrasi dan mampu mendorong pelaksanaan pelayanan publik yang lebih cepat dan efisien</t>
        </is>
      </c>
      <c r="I94" s="15" t="inlineStr">
        <is>
          <t>B</t>
        </is>
      </c>
      <c r="J94" s="15" t="n">
        <v>0.5</v>
      </c>
      <c r="K94" s="49" t="n"/>
      <c r="L94" s="15" t="inlineStr">
        <is>
          <t>Belum ada tabulasi data tentang pengaruh penerapan SPBE Eksternal</t>
        </is>
      </c>
      <c r="M94" s="15" t="inlineStr">
        <is>
          <t>—</t>
        </is>
      </c>
      <c r="N94" s="15" t="inlineStr">
        <is>
          <t>—</t>
        </is>
      </c>
      <c r="O94" s="15" t="inlineStr">
        <is>
          <t>—</t>
        </is>
      </c>
      <c r="P94" s="15" t="n"/>
      <c r="Q94" s="36" t="inlineStr">
        <is>
          <t>https://drive.google.com/drive/folders/1IsxuzzutVUALN6Grzr4OMdfWpLpeMhtU?usp=sharing</t>
        </is>
      </c>
      <c r="R94" s="15" t="n">
        <v>139</v>
      </c>
    </row>
    <row r="95">
      <c r="A95" s="15" t="inlineStr">
        <is>
          <t>Kantah Kabupaten Gorontalo</t>
        </is>
      </c>
      <c r="B95" s="15" t="inlineStr">
        <is>
          <t>PENGUNGKIT</t>
        </is>
      </c>
      <c r="C95" s="15" t="inlineStr">
        <is>
          <t>2</t>
        </is>
      </c>
      <c r="D95" s="15" t="inlineStr">
        <is>
          <t>PENATAAN TATALAKSANA</t>
        </is>
      </c>
      <c r="E95" s="15" t="inlineStr">
        <is>
          <t>ii</t>
        </is>
      </c>
      <c r="F95" s="15" t="inlineStr">
        <is>
          <t>Sistem Pemerintahan Berbasis Elektronik (SPBE) yang Terintegrasi</t>
        </is>
      </c>
      <c r="G95" s="15" t="inlineStr">
        <is>
          <t>A.2.ii.b</t>
        </is>
      </c>
      <c r="H95" s="15" t="inlineStr">
        <is>
          <t>Implementasi SPBE telah terintegrasi dan mampu mendorong pelaksanaan pelayanan internal organisasi yang lebih cepat dan efisien</t>
        </is>
      </c>
      <c r="I95" s="15" t="inlineStr">
        <is>
          <t>B</t>
        </is>
      </c>
      <c r="J95" s="15" t="n">
        <v>0.5</v>
      </c>
      <c r="K95" s="49" t="n"/>
      <c r="L95" s="15" t="inlineStr">
        <is>
          <t>Belum ada tabulasi data tentang pengaruh penerapan SPBE Internal</t>
        </is>
      </c>
      <c r="M95" s="15" t="inlineStr">
        <is>
          <t>—</t>
        </is>
      </c>
      <c r="N95" s="15" t="inlineStr">
        <is>
          <t>—</t>
        </is>
      </c>
      <c r="O95" s="15" t="inlineStr">
        <is>
          <t>—</t>
        </is>
      </c>
      <c r="P95" s="15" t="n"/>
      <c r="Q95" s="36" t="inlineStr">
        <is>
          <t>https://drive.google.com/drive/folders/1yBf3RHj5uvSgNj9N44-prpe7XHTFA92J?usp=drive_link</t>
        </is>
      </c>
      <c r="R95" s="15" t="n">
        <v>140</v>
      </c>
    </row>
    <row r="96">
      <c r="A96" s="15" t="inlineStr">
        <is>
          <t>Kantah Kabupaten Gorontalo</t>
        </is>
      </c>
      <c r="B96" s="15" t="inlineStr">
        <is>
          <t>PENGUNGKIT</t>
        </is>
      </c>
      <c r="C96" s="15" t="inlineStr">
        <is>
          <t>2</t>
        </is>
      </c>
      <c r="D96" s="15" t="inlineStr">
        <is>
          <t>PENATAAN TATALAKSANA</t>
        </is>
      </c>
      <c r="E96" s="15" t="inlineStr">
        <is>
          <t>iii</t>
        </is>
      </c>
      <c r="F96" s="15" t="inlineStr">
        <is>
          <t>Transformasi Digital Memberikan Nilai Manfaat</t>
        </is>
      </c>
      <c r="G96" s="15" t="inlineStr">
        <is>
          <t>A.2.iii.a</t>
        </is>
      </c>
      <c r="H96" s="15" t="inlineStr">
        <is>
          <t>Transformasi digital pada bidang proses bisnis utama telah mampu memberikan nilai manfaat bagi unit kerja secara optimal</t>
        </is>
      </c>
      <c r="I96" s="15" t="inlineStr">
        <is>
          <t>B</t>
        </is>
      </c>
      <c r="J96" s="15" t="n">
        <v>0.75</v>
      </c>
      <c r="K96" s="49" t="n"/>
      <c r="L96" s="15" t="inlineStr">
        <is>
          <t>- Uraian tentang pengaruh tranformasi Digital yang mempengaruhi proses bisnis utama dalam hal memberikan pelayanan pertanahan belum diupload
- Uraian tetang peran KKP dalam melakukan validasi terhadap objek permohonan belum diupload
- Uraian tentang peran SKMPP dalam melakukan kendali mutu setiap kegiatan belum diupload</t>
        </is>
      </c>
      <c r="M96" s="15" t="inlineStr">
        <is>
          <t>—</t>
        </is>
      </c>
      <c r="N96" s="15" t="inlineStr">
        <is>
          <t>—</t>
        </is>
      </c>
      <c r="O96" s="15" t="inlineStr">
        <is>
          <t>—</t>
        </is>
      </c>
      <c r="P96" s="15" t="n"/>
      <c r="Q96" s="36" t="inlineStr">
        <is>
          <t>https://drive.google.com/drive/folders/1IsxuzzutVUALN6Grzr4OMdfWpLpeMhtU?usp=drive_link</t>
        </is>
      </c>
      <c r="R96" s="15" t="n">
        <v>142</v>
      </c>
    </row>
    <row r="97">
      <c r="A97" s="15" t="inlineStr">
        <is>
          <t>Kantah Kabupaten Gorontalo</t>
        </is>
      </c>
      <c r="B97" s="15" t="inlineStr">
        <is>
          <t>PENGUNGKIT</t>
        </is>
      </c>
      <c r="C97" s="15" t="inlineStr">
        <is>
          <t>2</t>
        </is>
      </c>
      <c r="D97" s="15" t="inlineStr">
        <is>
          <t>PENATAAN TATALAKSANA</t>
        </is>
      </c>
      <c r="E97" s="15" t="inlineStr">
        <is>
          <t>iii</t>
        </is>
      </c>
      <c r="F97" s="15" t="inlineStr">
        <is>
          <t>Transformasi Digital Memberikan Nilai Manfaat</t>
        </is>
      </c>
      <c r="G97" s="15" t="inlineStr">
        <is>
          <t>A.2.iii.b</t>
        </is>
      </c>
      <c r="H97" s="15" t="inlineStr">
        <is>
          <t>Transformasi digital pada bidang administrasi pemerintahan telah mampu memberikan nilai manfaat bagi unit kerja secara optimal</t>
        </is>
      </c>
      <c r="I97" s="15" t="inlineStr">
        <is>
          <t>B</t>
        </is>
      </c>
      <c r="J97" s="15" t="n">
        <v>0.75</v>
      </c>
      <c r="K97" s="49" t="n"/>
      <c r="L97" s="15" t="inlineStr">
        <is>
          <t>- Uraian tentang pengaruh tranformasi Digital  mempengaruhi proses bisnis utama dalam meidang administrasi pemerintahan
- Uraian tetang peran Aplikasi SIMPEG dalam melakukan validasi terhadap proses pengembangan karir ASN
- Uraian tentang peran E-Office dalam melakukan kendali mutu proses sirkulasi dan disposisi surat</t>
        </is>
      </c>
      <c r="M97" s="15" t="inlineStr">
        <is>
          <t>—</t>
        </is>
      </c>
      <c r="N97" s="15" t="inlineStr">
        <is>
          <t>—</t>
        </is>
      </c>
      <c r="O97" s="15" t="inlineStr">
        <is>
          <t>—</t>
        </is>
      </c>
      <c r="P97" s="15" t="n"/>
      <c r="Q97" s="36" t="inlineStr">
        <is>
          <t>https://drive.google.com/drive/folders/1IsxuzzutVUALN6Grzr4OMdfWpLpeMhtU?usp=drive_link</t>
        </is>
      </c>
      <c r="R97" s="15" t="n">
        <v>143</v>
      </c>
    </row>
    <row r="98">
      <c r="A98" s="15" t="inlineStr">
        <is>
          <t>Kantah Kabupaten Gorontalo</t>
        </is>
      </c>
      <c r="B98" s="15" t="inlineStr">
        <is>
          <t>PENGUNGKIT</t>
        </is>
      </c>
      <c r="C98" s="15" t="inlineStr">
        <is>
          <t>2</t>
        </is>
      </c>
      <c r="D98" s="15" t="inlineStr">
        <is>
          <t>PENATAAN TATALAKSANA</t>
        </is>
      </c>
      <c r="E98" s="15" t="inlineStr">
        <is>
          <t>iii</t>
        </is>
      </c>
      <c r="F98" s="15" t="inlineStr">
        <is>
          <t>Transformasi Digital Memberikan Nilai Manfaat</t>
        </is>
      </c>
      <c r="G98" s="15" t="inlineStr">
        <is>
          <t>A.2.iii.c</t>
        </is>
      </c>
      <c r="H98" s="15" t="inlineStr">
        <is>
          <t>Transformasi digital pada bidang pelayanan publik telah mampu memberikan nilai manfaat bagi unit kerja secara optimal</t>
        </is>
      </c>
      <c r="I98" s="15" t="inlineStr">
        <is>
          <t>A</t>
        </is>
      </c>
      <c r="J98" s="15" t="n">
        <v>1</v>
      </c>
      <c r="K98" s="49" t="n"/>
      <c r="L98" s="15" t="n"/>
      <c r="M98" s="15" t="inlineStr">
        <is>
          <t>—</t>
        </is>
      </c>
      <c r="N98" s="15" t="inlineStr">
        <is>
          <t>—</t>
        </is>
      </c>
      <c r="O98" s="15" t="inlineStr">
        <is>
          <t>—</t>
        </is>
      </c>
      <c r="P98" s="15" t="n"/>
      <c r="Q98" s="36" t="inlineStr">
        <is>
          <t>https://drive.google.com/drive/folders/1IsxuzzutVUALN6Grzr4OMdfWpLpeMhtU?usp=drive_link</t>
        </is>
      </c>
      <c r="R98" s="15" t="n">
        <v>144</v>
      </c>
    </row>
    <row r="99">
      <c r="A99" s="15" t="inlineStr">
        <is>
          <t>Kantah Kabupaten Gorontalo</t>
        </is>
      </c>
      <c r="B99" s="15" t="inlineStr">
        <is>
          <t>PENGUNGKIT</t>
        </is>
      </c>
      <c r="C99" s="15" t="inlineStr">
        <is>
          <t>3</t>
        </is>
      </c>
      <c r="D99" s="15" t="inlineStr">
        <is>
          <t>PENATAAN SISTEM MANAJEMEN SDM APARATUR</t>
        </is>
      </c>
      <c r="E99" s="15" t="inlineStr">
        <is>
          <t>i</t>
        </is>
      </c>
      <c r="F99" s="15" t="inlineStr">
        <is>
          <t>Kinerja Individu</t>
        </is>
      </c>
      <c r="G99" s="15" t="inlineStr">
        <is>
          <t>A.3.i.a</t>
        </is>
      </c>
      <c r="H99" s="15" t="inlineStr">
        <is>
          <t>Ukuran kinerja individu telah berorientasi hasil (outcome) sesuai pada levelnya</t>
        </is>
      </c>
      <c r="I99" s="15" t="inlineStr">
        <is>
          <t>B</t>
        </is>
      </c>
      <c r="J99" s="15" t="n">
        <v>0.5</v>
      </c>
      <c r="K99" s="49" t="n"/>
      <c r="L99" s="15" t="inlineStr">
        <is>
          <t>Isi uraian eviden. Lengkapi:
1. Perjanjian Kinerja
2. SKP PNS
3. Dokumen Penilaian Kinerja Bulanan Pegawai Tahun 2025
4. Matriks Peran Hasil
5. SKP Struktural dan JF</t>
        </is>
      </c>
      <c r="M99" s="15" t="inlineStr">
        <is>
          <t>—</t>
        </is>
      </c>
      <c r="N99" s="15" t="inlineStr">
        <is>
          <t>—</t>
        </is>
      </c>
      <c r="O99" s="15" t="inlineStr">
        <is>
          <t>—</t>
        </is>
      </c>
      <c r="P99" s="15" t="n"/>
      <c r="Q99" s="36" t="inlineStr">
        <is>
          <t>https://drive.google.com/drive/u/2/folders/1xfrN1KkXbhouXdSP6pP_sXFPqtLe9C08</t>
        </is>
      </c>
      <c r="R99" s="15" t="n">
        <v>147</v>
      </c>
    </row>
    <row r="100">
      <c r="A100" s="15" t="inlineStr">
        <is>
          <t>Kantah Kabupaten Gorontalo</t>
        </is>
      </c>
      <c r="B100" s="15" t="inlineStr">
        <is>
          <t>PENGUNGKIT</t>
        </is>
      </c>
      <c r="C100" s="15" t="inlineStr">
        <is>
          <t>3</t>
        </is>
      </c>
      <c r="D100" s="15" t="inlineStr">
        <is>
          <t>PENATAAN SISTEM MANAJEMEN SDM APARATUR</t>
        </is>
      </c>
      <c r="E100" s="15" t="inlineStr">
        <is>
          <t>ii</t>
        </is>
      </c>
      <c r="F100" s="15" t="inlineStr">
        <is>
          <t>Assessment Pegawai</t>
        </is>
      </c>
      <c r="G100" s="15" t="inlineStr">
        <is>
          <t>A.3.ii.a</t>
        </is>
      </c>
      <c r="H100" s="15" t="inlineStr">
        <is>
          <t>Hasil assement telah dijadikan pertimbangan untuk mutasi dan pengembangan karir pegawai</t>
        </is>
      </c>
      <c r="I100" s="15" t="inlineStr">
        <is>
          <t>C</t>
        </is>
      </c>
      <c r="J100" s="15" t="n">
        <v>0</v>
      </c>
      <c r="K100" s="49" t="n"/>
      <c r="L100" s="15" t="inlineStr">
        <is>
          <t>Belum ada eviden, Lengkapi.
- Pelaksanaan penilaian kompetensi pegawai tahun  telah dilakukan oleh PPSDM Kementerian ATR/BPN dan datanya bisa diakses melalui aplikasi SIPK (Sistem Informasi Penilaian Kompetensi) untuk pertimbangan mutasi dan perkembangan karir pegawai
- Pelaksanaan Kelompok Rencana Suksesi seleksi Pejabat Pengawas tahun 2022 untuk pertimbangan mutasi dan perkembangan karir pegawai
1.Bukti keikutansertaan pegawai dalam assesmen dalam rangka pemetaan kopetensi dan pemetaan KRS (Surat Panggilan, Surat tugas dan pengumuman) dan SK Promosi atau Mutasi
2. Rekaputilasi keikutsertaan pegawai diklat</t>
        </is>
      </c>
      <c r="M100" s="15" t="inlineStr">
        <is>
          <t>—</t>
        </is>
      </c>
      <c r="N100" s="15" t="inlineStr">
        <is>
          <t>—</t>
        </is>
      </c>
      <c r="O100" s="15" t="inlineStr">
        <is>
          <t>—</t>
        </is>
      </c>
      <c r="P100" s="15" t="n"/>
      <c r="Q100" s="36" t="inlineStr">
        <is>
          <t>http://drive.google.com/drive/u/2/folders/1ZokldWm30zpeAQ5i4hwD3xpbXTcUNM5n</t>
        </is>
      </c>
      <c r="R100" s="15" t="n">
        <v>149</v>
      </c>
    </row>
    <row r="101">
      <c r="A101" s="15" t="inlineStr">
        <is>
          <t>Kantah Kabupaten Gorontalo</t>
        </is>
      </c>
      <c r="B101" s="15" t="inlineStr">
        <is>
          <t>PENGUNGKIT</t>
        </is>
      </c>
      <c r="C101" s="15" t="inlineStr">
        <is>
          <t>3</t>
        </is>
      </c>
      <c r="D101" s="15" t="inlineStr">
        <is>
          <t>PENATAAN SISTEM MANAJEMEN SDM APARATUR</t>
        </is>
      </c>
      <c r="E101" s="15" t="inlineStr">
        <is>
          <t>iii</t>
        </is>
      </c>
      <c r="F101" s="15" t="inlineStr">
        <is>
          <t>Pelanggaran Disiplin Pegawai</t>
        </is>
      </c>
      <c r="G101" s="15" t="inlineStr">
        <is>
          <t>A.3.iii.a</t>
        </is>
      </c>
      <c r="H101" s="15" t="inlineStr">
        <is>
          <t>Penurunan pelanggaran disiplin pegawai</t>
        </is>
      </c>
      <c r="I101" s="15" t="n">
        <v>1</v>
      </c>
      <c r="J101" s="15" t="n">
        <v>1</v>
      </c>
      <c r="K101" s="49" t="n"/>
      <c r="L101" s="15" t="inlineStr">
        <is>
          <t>Lampirkan :
1.Rekapitulasi Hukuman Disiplin yang melanggar aturan Disiplin Pegawai Tahun 2025-2026
2.Dokumen surat teguran tahun 2025</t>
        </is>
      </c>
      <c r="M101" s="15" t="inlineStr">
        <is>
          <t>—</t>
        </is>
      </c>
      <c r="N101" s="15" t="inlineStr">
        <is>
          <t>—</t>
        </is>
      </c>
      <c r="O101" s="15" t="inlineStr">
        <is>
          <t>—</t>
        </is>
      </c>
      <c r="P101" s="15" t="n"/>
      <c r="Q101" s="36" t="inlineStr">
        <is>
          <t>https://drive.google.com/drive/u/2/folders/1KNa3cCmA5Upg2mlfXaiYaaL4mYD26j9p</t>
        </is>
      </c>
      <c r="R101" s="15" t="n">
        <v>151</v>
      </c>
    </row>
    <row r="102">
      <c r="A102" s="15" t="inlineStr">
        <is>
          <t>Kantah Kabupaten Gorontalo</t>
        </is>
      </c>
      <c r="B102" s="15" t="inlineStr">
        <is>
          <t>PENGUNGKIT</t>
        </is>
      </c>
      <c r="C102" s="15" t="inlineStr">
        <is>
          <t>4</t>
        </is>
      </c>
      <c r="D102" s="15" t="inlineStr">
        <is>
          <t>PENGUATAN AKUNTABILITAS</t>
        </is>
      </c>
      <c r="E102" s="15" t="inlineStr">
        <is>
          <t>i</t>
        </is>
      </c>
      <c r="F102" s="15" t="inlineStr">
        <is>
          <t>Meningkatnya capaian kinerja unit kerja</t>
        </is>
      </c>
      <c r="G102" s="15" t="inlineStr">
        <is>
          <t>A.4.i.-</t>
        </is>
      </c>
      <c r="H102" s="15" t="inlineStr">
        <is>
          <t>Persentase Sasaran dengan capaian 100% atau lebih</t>
        </is>
      </c>
      <c r="I102" s="15" t="n">
        <v>1</v>
      </c>
      <c r="J102" s="15" t="n">
        <v>1</v>
      </c>
      <c r="K102" s="49" t="n"/>
      <c r="L102" s="15" t="inlineStr">
        <is>
          <t>1. LKJ Triwulanan belum di upload</t>
        </is>
      </c>
      <c r="M102" s="15" t="inlineStr">
        <is>
          <t>—</t>
        </is>
      </c>
      <c r="N102" s="15" t="inlineStr">
        <is>
          <t>—</t>
        </is>
      </c>
      <c r="O102" s="15" t="inlineStr">
        <is>
          <t>—</t>
        </is>
      </c>
      <c r="P102" s="15" t="n"/>
      <c r="Q102" s="36" t="inlineStr">
        <is>
          <t>https://drive.google.com/drive/folders/1TpnuNQL0WELkbSYUipdPXLPNWAzGhsvu?usp=share_link</t>
        </is>
      </c>
      <c r="R102" s="15" t="n">
        <v>157</v>
      </c>
    </row>
    <row r="103">
      <c r="A103" s="15" t="inlineStr">
        <is>
          <t>Kantah Kabupaten Gorontalo</t>
        </is>
      </c>
      <c r="B103" s="15" t="inlineStr">
        <is>
          <t>PENGUNGKIT</t>
        </is>
      </c>
      <c r="C103" s="15" t="inlineStr">
        <is>
          <t>4</t>
        </is>
      </c>
      <c r="D103" s="15" t="inlineStr">
        <is>
          <t>PENGUATAN AKUNTABILITAS</t>
        </is>
      </c>
      <c r="E103" s="15" t="inlineStr">
        <is>
          <t>ii</t>
        </is>
      </c>
      <c r="F103" s="15" t="inlineStr">
        <is>
          <t>Pemberian Reward and Punishment</t>
        </is>
      </c>
      <c r="G103" s="15" t="inlineStr">
        <is>
          <t>A.4.ii.-</t>
        </is>
      </c>
      <c r="H103" s="15" t="inlineStr">
        <is>
          <t>Hasil Capaian/Monitoring Perjanjian Kinerja telah dijadikan dasar sebagai pemberian reward and punishment bagi organisasi</t>
        </is>
      </c>
      <c r="I103" s="15" t="inlineStr">
        <is>
          <t>B</t>
        </is>
      </c>
      <c r="J103" s="15" t="n">
        <v>0.67</v>
      </c>
      <c r="K103" s="49" t="n"/>
      <c r="L103" s="15" t="inlineStr">
        <is>
          <t>Evidence Penyusunan SAKIP di lengkapi</t>
        </is>
      </c>
      <c r="M103" s="15" t="inlineStr">
        <is>
          <t>—</t>
        </is>
      </c>
      <c r="N103" s="15" t="inlineStr">
        <is>
          <t>—</t>
        </is>
      </c>
      <c r="O103" s="15" t="inlineStr">
        <is>
          <t>—</t>
        </is>
      </c>
      <c r="P103" s="15" t="n"/>
      <c r="Q103" s="36" t="inlineStr">
        <is>
          <t>https://drive.google.com/drive/folders/1tZGxopAqotnUvCEiPXsbKa-kayQV-K0W?usp=share_link</t>
        </is>
      </c>
      <c r="R103" s="15" t="n">
        <v>161</v>
      </c>
    </row>
    <row r="104">
      <c r="A104" s="15" t="inlineStr">
        <is>
          <t>Kantah Kabupaten Gorontalo</t>
        </is>
      </c>
      <c r="B104" s="15" t="inlineStr">
        <is>
          <t>PENGUNGKIT</t>
        </is>
      </c>
      <c r="C104" s="15" t="inlineStr">
        <is>
          <t>4</t>
        </is>
      </c>
      <c r="D104" s="15" t="inlineStr">
        <is>
          <t>PENGUATAN AKUNTABILITAS</t>
        </is>
      </c>
      <c r="E104" s="15" t="inlineStr">
        <is>
          <t>iii</t>
        </is>
      </c>
      <c r="F104" s="15" t="inlineStr">
        <is>
          <t>Kerangka Logis Kinerja</t>
        </is>
      </c>
      <c r="G104" s="15" t="inlineStr">
        <is>
          <t>A.4.iii.-</t>
        </is>
      </c>
      <c r="H104" s="15" t="inlineStr">
        <is>
          <t>Apakah terdapat penjenjangan kinerja ((Kerangka Logis Kinerja) yang mengacu pada kinerja utama  organisasi dan dijadikan dalam penentuan kinerja seluruh pegawai?</t>
        </is>
      </c>
      <c r="I104" s="15" t="inlineStr">
        <is>
          <t>A</t>
        </is>
      </c>
      <c r="J104" s="15" t="n">
        <v>1</v>
      </c>
      <c r="K104" s="49" t="n"/>
      <c r="L104" s="15" t="inlineStr">
        <is>
          <t xml:space="preserve">Tambahkan dengan matriks peran hasil </t>
        </is>
      </c>
      <c r="M104" s="15" t="inlineStr">
        <is>
          <t>—</t>
        </is>
      </c>
      <c r="N104" s="15" t="inlineStr">
        <is>
          <t>—</t>
        </is>
      </c>
      <c r="O104" s="15" t="inlineStr">
        <is>
          <t>—</t>
        </is>
      </c>
      <c r="P104" s="15" t="n"/>
      <c r="Q104" s="36" t="inlineStr">
        <is>
          <t>https://drive.google.com/drive/folders/1EWWk8GgzV2NNbTF_FwY_kLddWjE_OBHl?usp=share_link</t>
        </is>
      </c>
      <c r="R104" s="15" t="n">
        <v>163</v>
      </c>
    </row>
    <row r="105">
      <c r="A105" s="15" t="inlineStr">
        <is>
          <t>Kantah Kabupaten Gorontalo</t>
        </is>
      </c>
      <c r="B105" s="15" t="inlineStr">
        <is>
          <t>PENGUNGKIT</t>
        </is>
      </c>
      <c r="C105" s="15" t="inlineStr">
        <is>
          <t>5</t>
        </is>
      </c>
      <c r="D105" s="15" t="inlineStr">
        <is>
          <t>PENGUATAN PENGAWASAN</t>
        </is>
      </c>
      <c r="E105" s="15" t="inlineStr">
        <is>
          <t>i</t>
        </is>
      </c>
      <c r="F105" s="15" t="inlineStr">
        <is>
          <t>Mekanisme Pengendalian</t>
        </is>
      </c>
      <c r="G105" s="15" t="inlineStr">
        <is>
          <t>A.5.i.-</t>
        </is>
      </c>
      <c r="H105" s="15" t="inlineStr">
        <is>
          <t>Telah dilakukan mekanisme pengendalian aktivitas secara berjenjang</t>
        </is>
      </c>
      <c r="I105" s="15" t="inlineStr">
        <is>
          <t>B</t>
        </is>
      </c>
      <c r="J105" s="15" t="n">
        <v>0.75</v>
      </c>
      <c r="K105" s="49" t="n"/>
      <c r="L105" s="15" t="n"/>
      <c r="M105" s="15" t="inlineStr">
        <is>
          <t>—</t>
        </is>
      </c>
      <c r="N105" s="15" t="inlineStr">
        <is>
          <t>—</t>
        </is>
      </c>
      <c r="O105" s="15" t="inlineStr">
        <is>
          <t>—</t>
        </is>
      </c>
      <c r="P105" s="15" t="n"/>
      <c r="Q105" s="36" t="inlineStr">
        <is>
          <t>https://drive.google.com/drive/u/2/folders/1EO47arIFRvVQhtL_SjfyOpn_EQIa8Bdw</t>
        </is>
      </c>
      <c r="R105" s="15" t="n">
        <v>166</v>
      </c>
    </row>
    <row r="106">
      <c r="A106" s="15" t="inlineStr">
        <is>
          <t>Kantah Kabupaten Gorontalo</t>
        </is>
      </c>
      <c r="B106" s="15" t="inlineStr">
        <is>
          <t>PENGUNGKIT</t>
        </is>
      </c>
      <c r="C106" s="15" t="inlineStr">
        <is>
          <t>5</t>
        </is>
      </c>
      <c r="D106" s="15" t="inlineStr">
        <is>
          <t>PENGUATAN PENGAWASAN</t>
        </is>
      </c>
      <c r="E106" s="15" t="inlineStr">
        <is>
          <t>ii</t>
        </is>
      </c>
      <c r="F106" s="15" t="inlineStr">
        <is>
          <t>Penanganan Pengaduan Masyarakat</t>
        </is>
      </c>
      <c r="G106" s="15" t="inlineStr">
        <is>
          <t>A.5.ii.-</t>
        </is>
      </c>
      <c r="H106" s="15" t="inlineStr">
        <is>
          <t>Persentase penanganan pengaduan masyarakat</t>
        </is>
      </c>
      <c r="I106" s="15" t="n">
        <v>1</v>
      </c>
      <c r="J106" s="15" t="n">
        <v>1</v>
      </c>
      <c r="K106" s="49" t="n"/>
      <c r="L106" s="15" t="inlineStr">
        <is>
          <t>belum ada link evidence</t>
        </is>
      </c>
      <c r="M106" s="15" t="inlineStr">
        <is>
          <t>—</t>
        </is>
      </c>
      <c r="N106" s="15" t="inlineStr">
        <is>
          <t>—</t>
        </is>
      </c>
      <c r="O106" s="15" t="inlineStr">
        <is>
          <t>—</t>
        </is>
      </c>
      <c r="P106" s="15" t="n"/>
      <c r="Q106" s="36" t="inlineStr">
        <is>
          <t>https://drive.google.com/drive/u/2/folders/1EO47arIFRvVQhtL_SjfyOpn_EQIa8Bdw</t>
        </is>
      </c>
      <c r="R106" s="15" t="n">
        <v>168</v>
      </c>
    </row>
    <row r="107">
      <c r="A107" s="15" t="inlineStr">
        <is>
          <t>Kantah Kabupaten Gorontalo</t>
        </is>
      </c>
      <c r="B107" s="15" t="inlineStr">
        <is>
          <t>PENGUNGKIT</t>
        </is>
      </c>
      <c r="C107" s="15" t="inlineStr">
        <is>
          <t>5</t>
        </is>
      </c>
      <c r="D107" s="15" t="inlineStr">
        <is>
          <t>PENGUATAN PENGAWASAN</t>
        </is>
      </c>
      <c r="E107" s="15" t="inlineStr">
        <is>
          <t>iii</t>
        </is>
      </c>
      <c r="F107" s="15" t="inlineStr">
        <is>
          <t>Penyampaian Laporan Harta Kekayaan</t>
        </is>
      </c>
      <c r="G107" s="15" t="inlineStr">
        <is>
          <t>A.5.iii.-</t>
        </is>
      </c>
      <c r="H107" s="15" t="inlineStr">
        <is>
          <t>Persentase penyampaian LHKPN</t>
        </is>
      </c>
      <c r="I107" s="15" t="n">
        <v>1</v>
      </c>
      <c r="J107" s="15" t="n">
        <v>1</v>
      </c>
      <c r="K107" s="49" t="n"/>
      <c r="L107" s="15" t="n"/>
      <c r="M107" s="15" t="inlineStr">
        <is>
          <t>—</t>
        </is>
      </c>
      <c r="N107" s="15" t="inlineStr">
        <is>
          <t>—</t>
        </is>
      </c>
      <c r="O107" s="15" t="inlineStr">
        <is>
          <t>—</t>
        </is>
      </c>
      <c r="P107" s="15" t="n"/>
      <c r="Q107" s="15" t="n"/>
      <c r="R107" s="15" t="n">
        <v>174</v>
      </c>
    </row>
    <row r="108">
      <c r="A108" s="15" t="inlineStr">
        <is>
          <t>Kantah Kabupaten Gorontalo</t>
        </is>
      </c>
      <c r="B108" s="15" t="inlineStr">
        <is>
          <t>PENGUNGKIT</t>
        </is>
      </c>
      <c r="C108" s="15" t="inlineStr">
        <is>
          <t>5</t>
        </is>
      </c>
      <c r="D108" s="15" t="inlineStr">
        <is>
          <t>PENGUATAN PENGAWASAN</t>
        </is>
      </c>
      <c r="E108" s="15" t="inlineStr">
        <is>
          <t>iii</t>
        </is>
      </c>
      <c r="F108" s="15" t="inlineStr">
        <is>
          <t>Penyampaian Laporan Harta Kekayaan</t>
        </is>
      </c>
      <c r="G108" s="15" t="inlineStr">
        <is>
          <t>A.5.iii.-</t>
        </is>
      </c>
      <c r="H108" s="15" t="inlineStr">
        <is>
          <t>Jumlah yang harus melaporkan</t>
        </is>
      </c>
      <c r="I108" s="15" t="n">
        <v>5</v>
      </c>
      <c r="J108" s="15" t="n"/>
      <c r="K108" s="49" t="n"/>
      <c r="L108" s="15" t="n"/>
      <c r="M108" s="15" t="inlineStr">
        <is>
          <t>—</t>
        </is>
      </c>
      <c r="N108" s="15" t="inlineStr">
        <is>
          <t>—</t>
        </is>
      </c>
      <c r="O108" s="15" t="inlineStr">
        <is>
          <t>—</t>
        </is>
      </c>
      <c r="P108" s="15" t="n"/>
      <c r="Q108" s="15" t="n"/>
      <c r="R108" s="15" t="n">
        <v>175</v>
      </c>
    </row>
    <row r="109">
      <c r="A109" s="15" t="inlineStr">
        <is>
          <t>Kantah Kabupaten Gorontalo</t>
        </is>
      </c>
      <c r="B109" s="15" t="inlineStr">
        <is>
          <t>PENGUNGKIT</t>
        </is>
      </c>
      <c r="C109" s="15" t="inlineStr">
        <is>
          <t>5</t>
        </is>
      </c>
      <c r="D109" s="15" t="inlineStr">
        <is>
          <t>PENGUATAN PENGAWASAN</t>
        </is>
      </c>
      <c r="E109" s="15" t="inlineStr">
        <is>
          <t>iii</t>
        </is>
      </c>
      <c r="F109" s="15" t="inlineStr">
        <is>
          <t>Penyampaian Laporan Harta Kekayaan</t>
        </is>
      </c>
      <c r="G109" s="15" t="inlineStr">
        <is>
          <t>A.5.iii.-</t>
        </is>
      </c>
      <c r="H109" s="15" t="inlineStr">
        <is>
          <t>Jumlah yang sudah melaporkan</t>
        </is>
      </c>
      <c r="I109" s="15" t="n">
        <v>5</v>
      </c>
      <c r="J109" s="15" t="n"/>
      <c r="K109" s="49" t="n"/>
      <c r="L109" s="15" t="n"/>
      <c r="M109" s="15" t="inlineStr">
        <is>
          <t>—</t>
        </is>
      </c>
      <c r="N109" s="15" t="inlineStr">
        <is>
          <t>—</t>
        </is>
      </c>
      <c r="O109" s="15" t="inlineStr">
        <is>
          <t>—</t>
        </is>
      </c>
      <c r="P109" s="15" t="n"/>
      <c r="Q109" s="15" t="n"/>
      <c r="R109" s="15" t="n">
        <v>179</v>
      </c>
    </row>
    <row r="110">
      <c r="A110" s="15" t="inlineStr">
        <is>
          <t>Kantah Kabupaten Gorontalo</t>
        </is>
      </c>
      <c r="B110" s="15" t="inlineStr">
        <is>
          <t>PENGUNGKIT</t>
        </is>
      </c>
      <c r="C110" s="15" t="inlineStr">
        <is>
          <t>5</t>
        </is>
      </c>
      <c r="D110" s="15" t="inlineStr">
        <is>
          <t>PENGUATAN PENGAWASAN</t>
        </is>
      </c>
      <c r="E110" s="15" t="inlineStr">
        <is>
          <t>iii</t>
        </is>
      </c>
      <c r="F110" s="15" t="inlineStr">
        <is>
          <t>Penyampaian Laporan Harta Kekayaan</t>
        </is>
      </c>
      <c r="G110" s="15" t="inlineStr">
        <is>
          <t>A.5.iii.-</t>
        </is>
      </c>
      <c r="H110" s="15" t="inlineStr">
        <is>
          <t>Persentase penyampaian Non LHKPN</t>
        </is>
      </c>
      <c r="I110" s="15" t="n">
        <v>1</v>
      </c>
      <c r="J110" s="15" t="n">
        <v>1</v>
      </c>
      <c r="K110" s="49" t="n"/>
      <c r="L110" s="15" t="n"/>
      <c r="M110" s="15" t="inlineStr">
        <is>
          <t>—</t>
        </is>
      </c>
      <c r="N110" s="15" t="inlineStr">
        <is>
          <t>—</t>
        </is>
      </c>
      <c r="O110" s="15" t="inlineStr">
        <is>
          <t>—</t>
        </is>
      </c>
      <c r="P110" s="15" t="n"/>
      <c r="Q110" s="15" t="n"/>
      <c r="R110" s="15" t="n">
        <v>181</v>
      </c>
    </row>
    <row r="111">
      <c r="A111" s="15" t="inlineStr">
        <is>
          <t>Kantah Kabupaten Gorontalo</t>
        </is>
      </c>
      <c r="B111" s="15" t="inlineStr">
        <is>
          <t>PENGUNGKIT</t>
        </is>
      </c>
      <c r="C111" s="15" t="inlineStr">
        <is>
          <t>5</t>
        </is>
      </c>
      <c r="D111" s="15" t="inlineStr">
        <is>
          <t>PENGUATAN PENGAWASAN</t>
        </is>
      </c>
      <c r="E111" s="15" t="inlineStr">
        <is>
          <t>iii</t>
        </is>
      </c>
      <c r="F111" s="15" t="inlineStr">
        <is>
          <t>Penyampaian Laporan Harta Kekayaan</t>
        </is>
      </c>
      <c r="G111" s="15" t="inlineStr">
        <is>
          <t>A.5.iii.-</t>
        </is>
      </c>
      <c r="H111" s="15" t="inlineStr">
        <is>
          <t>Jumlah yang harus melaporkan (tidak wajib LHKPN)</t>
        </is>
      </c>
      <c r="I111" s="15" t="n">
        <v>25</v>
      </c>
      <c r="J111" s="15" t="n"/>
      <c r="K111" s="49" t="n"/>
      <c r="L111" s="15" t="n"/>
      <c r="M111" s="15" t="inlineStr">
        <is>
          <t>—</t>
        </is>
      </c>
      <c r="N111" s="15" t="inlineStr">
        <is>
          <t>—</t>
        </is>
      </c>
      <c r="O111" s="15" t="inlineStr">
        <is>
          <t>—</t>
        </is>
      </c>
      <c r="P111" s="15" t="n"/>
      <c r="Q111" s="15" t="n"/>
      <c r="R111" s="15" t="n">
        <v>182</v>
      </c>
    </row>
    <row r="112">
      <c r="A112" s="15" t="inlineStr">
        <is>
          <t>Kantah Kabupaten Gorontalo</t>
        </is>
      </c>
      <c r="B112" s="15" t="inlineStr">
        <is>
          <t>PENGUNGKIT</t>
        </is>
      </c>
      <c r="C112" s="15" t="inlineStr">
        <is>
          <t>5</t>
        </is>
      </c>
      <c r="D112" s="15" t="inlineStr">
        <is>
          <t>PENGUATAN PENGAWASAN</t>
        </is>
      </c>
      <c r="E112" s="15" t="inlineStr">
        <is>
          <t>iii</t>
        </is>
      </c>
      <c r="F112" s="15" t="inlineStr">
        <is>
          <t>Penyampaian Laporan Harta Kekayaan</t>
        </is>
      </c>
      <c r="G112" s="15" t="inlineStr">
        <is>
          <t>A.5.iii.-</t>
        </is>
      </c>
      <c r="H112" s="15" t="inlineStr">
        <is>
          <t>Jumlah yang sudah melaporkan</t>
        </is>
      </c>
      <c r="I112" s="15" t="n">
        <v>25</v>
      </c>
      <c r="J112" s="15" t="n"/>
      <c r="K112" s="49" t="n"/>
      <c r="L112" s="15" t="n"/>
      <c r="M112" s="15" t="inlineStr">
        <is>
          <t>—</t>
        </is>
      </c>
      <c r="N112" s="15" t="inlineStr">
        <is>
          <t>—</t>
        </is>
      </c>
      <c r="O112" s="15" t="inlineStr">
        <is>
          <t>—</t>
        </is>
      </c>
      <c r="P112" s="15" t="n"/>
      <c r="Q112" s="15" t="n"/>
      <c r="R112" s="15" t="n">
        <v>186</v>
      </c>
    </row>
    <row r="113">
      <c r="A113" s="15" t="inlineStr">
        <is>
          <t>Kantah Kabupaten Gorontalo</t>
        </is>
      </c>
      <c r="B113" s="15" t="inlineStr">
        <is>
          <t>PENGUNGKIT</t>
        </is>
      </c>
      <c r="C113" s="15" t="inlineStr">
        <is>
          <t>6</t>
        </is>
      </c>
      <c r="D113" s="15" t="inlineStr">
        <is>
          <t>PENINGKATAN KUALITAS PELAYANAN PUBLIK</t>
        </is>
      </c>
      <c r="E113" s="15" t="inlineStr">
        <is>
          <t>i</t>
        </is>
      </c>
      <c r="F113" s="15" t="inlineStr">
        <is>
          <t>Upaya dan/atau Inovasi Pelayanan Publik</t>
        </is>
      </c>
      <c r="G113" s="15" t="inlineStr">
        <is>
          <t>A.6.i.a</t>
        </is>
      </c>
      <c r="H113" s="15" t="inlineStr">
        <is>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is>
      </c>
      <c r="I113" s="15" t="inlineStr">
        <is>
          <t>B</t>
        </is>
      </c>
      <c r="J113" s="15" t="n">
        <v>0.67</v>
      </c>
      <c r="K113" s="49" t="n"/>
      <c r="L113" s="15" t="inlineStr">
        <is>
          <t>alur pelayanan belum ada</t>
        </is>
      </c>
      <c r="M113" s="15" t="inlineStr">
        <is>
          <t>—</t>
        </is>
      </c>
      <c r="N113" s="15" t="inlineStr">
        <is>
          <t>—</t>
        </is>
      </c>
      <c r="O113" s="15" t="inlineStr">
        <is>
          <t>—</t>
        </is>
      </c>
      <c r="P113" s="15" t="n"/>
      <c r="Q113" s="36" t="inlineStr">
        <is>
          <t>https://drive.google.com/drive/folders/1nF_sakRuFeezdLxTDaSD_1mMHJHnUYQ8</t>
        </is>
      </c>
      <c r="R113" s="15" t="n">
        <v>189</v>
      </c>
    </row>
    <row r="114">
      <c r="A114" s="15" t="inlineStr">
        <is>
          <t>Kantah Kabupaten Gorontalo</t>
        </is>
      </c>
      <c r="B114" s="15" t="inlineStr">
        <is>
          <t>PENGUNGKIT</t>
        </is>
      </c>
      <c r="C114" s="15" t="inlineStr">
        <is>
          <t>6</t>
        </is>
      </c>
      <c r="D114" s="15" t="inlineStr">
        <is>
          <t>PENINGKATAN KUALITAS PELAYANAN PUBLIK</t>
        </is>
      </c>
      <c r="E114" s="15" t="inlineStr">
        <is>
          <t>i</t>
        </is>
      </c>
      <c r="F114" s="15" t="inlineStr">
        <is>
          <t>Upaya dan/atau Inovasi Pelayanan Publik</t>
        </is>
      </c>
      <c r="G114" s="15" t="inlineStr">
        <is>
          <t>A.6.i.b</t>
        </is>
      </c>
      <c r="H114" s="15" t="inlineStr">
        <is>
          <t>Upaya dan/atau inovasi pada perijinan/pelayanan telah dipermudah:
1. Waktu lebih cepat
2. Pelayanan Publik yang terpadu
3. Alur lebih pendek/singkat
4 Terintegrasi dengan aplikasi</t>
        </is>
      </c>
      <c r="I114" s="15" t="n">
        <v>1</v>
      </c>
      <c r="J114" s="15" t="n">
        <v>1</v>
      </c>
      <c r="K114" s="49" t="n"/>
      <c r="L114" s="15" t="n"/>
      <c r="M114" s="15" t="inlineStr">
        <is>
          <t>—</t>
        </is>
      </c>
      <c r="N114" s="15" t="inlineStr">
        <is>
          <t>—</t>
        </is>
      </c>
      <c r="O114" s="15" t="inlineStr">
        <is>
          <t>—</t>
        </is>
      </c>
      <c r="P114" s="15" t="n"/>
      <c r="Q114" s="36" t="inlineStr">
        <is>
          <t>https://drive.google.com/drive/folders/1-ynXn6y3fRaRGxWNodEmeoOUuhx6ULHw</t>
        </is>
      </c>
      <c r="R114" s="15" t="n">
        <v>190</v>
      </c>
    </row>
    <row r="115">
      <c r="A115" s="15" t="inlineStr">
        <is>
          <t>Kantah Kabupaten Gorontalo</t>
        </is>
      </c>
      <c r="B115" s="15" t="inlineStr">
        <is>
          <t>PENGUNGKIT</t>
        </is>
      </c>
      <c r="C115" s="15" t="inlineStr">
        <is>
          <t>6</t>
        </is>
      </c>
      <c r="D115" s="15" t="inlineStr">
        <is>
          <t>PENINGKATAN KUALITAS PELAYANAN PUBLIK</t>
        </is>
      </c>
      <c r="E115" s="15" t="inlineStr">
        <is>
          <t>ii</t>
        </is>
      </c>
      <c r="F115" s="15" t="inlineStr">
        <is>
          <t>Penanganan Pengaduan Pelayanan dan Konsultasi</t>
        </is>
      </c>
      <c r="G115" s="15" t="inlineStr">
        <is>
          <t>A.6.ii.-</t>
        </is>
      </c>
      <c r="H115" s="15" t="inlineStr">
        <is>
          <t>Penanganan pengaduan pelayanan dilakukan melalui berbagai kanal/media secara responsive dan bertanggung jawab</t>
        </is>
      </c>
      <c r="I115" s="15" t="inlineStr">
        <is>
          <t>A</t>
        </is>
      </c>
      <c r="J115" s="15" t="n">
        <v>1</v>
      </c>
      <c r="K115" s="49" t="n"/>
      <c r="L115" s="15" t="n"/>
      <c r="M115" s="15" t="inlineStr">
        <is>
          <t>—</t>
        </is>
      </c>
      <c r="N115" s="15" t="inlineStr">
        <is>
          <t>—</t>
        </is>
      </c>
      <c r="O115" s="15" t="inlineStr">
        <is>
          <t>—</t>
        </is>
      </c>
      <c r="P115" s="15" t="n"/>
      <c r="Q115" s="36" t="inlineStr">
        <is>
          <t>https://drive.google.com/drive/folders/1TEA3KIOrFBQoIwzdpTeB-3G31NOwaCQP</t>
        </is>
      </c>
      <c r="R115" s="15" t="n">
        <v>194</v>
      </c>
    </row>
    <row r="116">
      <c r="A116" s="15" t="inlineStr">
        <is>
          <t>Kantah Kabupaten Gorontalo</t>
        </is>
      </c>
      <c r="B116" s="15" t="inlineStr">
        <is>
          <t>HASIL</t>
        </is>
      </c>
      <c r="C116" s="15" t="inlineStr">
        <is>
          <t>I</t>
        </is>
      </c>
      <c r="D116" s="15" t="inlineStr">
        <is>
          <t>BIROKRASI YANG BERSIH DAN AKUNTABEL</t>
        </is>
      </c>
      <c r="E116" s="15" t="inlineStr"/>
      <c r="F116" s="15" t="inlineStr"/>
      <c r="G116" s="15" t="inlineStr">
        <is>
          <t>B.I.a</t>
        </is>
      </c>
      <c r="H116" s="15" t="inlineStr">
        <is>
          <t>Nilai Survey Persepsi Korupsi (Survei Eksternal)</t>
        </is>
      </c>
      <c r="I116" s="15" t="n">
        <v>3.975</v>
      </c>
      <c r="J116" s="15" t="n">
        <v>17.390625</v>
      </c>
      <c r="K116" s="49" t="n"/>
      <c r="L116" s="15" t="n"/>
      <c r="M116" s="15" t="inlineStr">
        <is>
          <t>—</t>
        </is>
      </c>
      <c r="N116" s="15" t="inlineStr">
        <is>
          <t>—</t>
        </is>
      </c>
      <c r="O116" s="15" t="inlineStr">
        <is>
          <t>—</t>
        </is>
      </c>
      <c r="P116" s="15" t="n"/>
      <c r="Q116" s="15" t="n"/>
      <c r="R116" s="15" t="n">
        <v>199</v>
      </c>
    </row>
    <row r="117">
      <c r="A117" s="15" t="inlineStr">
        <is>
          <t>Kantah Kabupaten Gorontalo</t>
        </is>
      </c>
      <c r="B117" s="15" t="inlineStr">
        <is>
          <t>HASIL</t>
        </is>
      </c>
      <c r="C117" s="15" t="inlineStr">
        <is>
          <t>I</t>
        </is>
      </c>
      <c r="D117" s="15" t="inlineStr">
        <is>
          <t>BIROKRASI YANG BERSIH DAN AKUNTABEL</t>
        </is>
      </c>
      <c r="E117" s="15" t="inlineStr"/>
      <c r="F117" s="15" t="inlineStr"/>
      <c r="G117" s="15" t="inlineStr">
        <is>
          <t>B.I.b</t>
        </is>
      </c>
      <c r="H117" s="15" t="inlineStr">
        <is>
          <t>Capaian Kinerja Lebih Baik dari pada Capaian Kinerja Sebelumnya</t>
        </is>
      </c>
      <c r="I117" s="15" t="inlineStr">
        <is>
          <t>C</t>
        </is>
      </c>
      <c r="J117" s="15" t="n">
        <v>2.5</v>
      </c>
      <c r="K117" s="49" t="n"/>
      <c r="L117" s="15" t="n"/>
      <c r="M117" s="15" t="inlineStr">
        <is>
          <t>—</t>
        </is>
      </c>
      <c r="N117" s="15" t="inlineStr">
        <is>
          <t>—</t>
        </is>
      </c>
      <c r="O117" s="15" t="inlineStr">
        <is>
          <t>—</t>
        </is>
      </c>
      <c r="P117" s="15" t="n"/>
      <c r="Q117" s="15" t="n"/>
      <c r="R117" s="15" t="n">
        <v>200</v>
      </c>
    </row>
    <row r="118">
      <c r="A118" s="15" t="inlineStr">
        <is>
          <t>Kantah Kabupaten Gorontalo</t>
        </is>
      </c>
      <c r="B118" s="15" t="inlineStr">
        <is>
          <t>HASIL</t>
        </is>
      </c>
      <c r="C118" s="15" t="inlineStr">
        <is>
          <t>II</t>
        </is>
      </c>
      <c r="D118" s="15" t="inlineStr">
        <is>
          <t>PELAYANAN PUBLIK YANG PRIMA</t>
        </is>
      </c>
      <c r="E118" s="15" t="inlineStr"/>
      <c r="F118" s="15" t="inlineStr"/>
      <c r="G118" s="15" t="inlineStr">
        <is>
          <t>B.II.-</t>
        </is>
      </c>
      <c r="H118" s="15" t="inlineStr">
        <is>
          <t>Nilai Persepsi Kualitas Pelayanan (Survei Eksternal)</t>
        </is>
      </c>
      <c r="I118" s="15" t="n">
        <v>3.98</v>
      </c>
      <c r="J118" s="15" t="n">
        <v>17.4125</v>
      </c>
      <c r="K118" s="49" t="n"/>
      <c r="L118" s="15" t="n"/>
      <c r="M118" s="15" t="inlineStr">
        <is>
          <t>—</t>
        </is>
      </c>
      <c r="N118" s="15" t="inlineStr">
        <is>
          <t>—</t>
        </is>
      </c>
      <c r="O118" s="15" t="inlineStr">
        <is>
          <t>—</t>
        </is>
      </c>
      <c r="P118" s="15" t="n"/>
      <c r="Q118" s="15" t="n"/>
      <c r="R118" s="15" t="n">
        <v>202</v>
      </c>
    </row>
    <row r="119">
      <c r="A119" s="15" t="inlineStr">
        <is>
          <t>Kanwil BPN Provinsi Gorontalo</t>
        </is>
      </c>
      <c r="B119" s="15" t="inlineStr">
        <is>
          <t>PENGUNGKIT</t>
        </is>
      </c>
      <c r="C119" s="15" t="inlineStr">
        <is>
          <t>1</t>
        </is>
      </c>
      <c r="D119" s="15" t="inlineStr">
        <is>
          <t>MANAJEMEN PERUBAHAN</t>
        </is>
      </c>
      <c r="E119" s="15" t="inlineStr">
        <is>
          <t>i</t>
        </is>
      </c>
      <c r="F119" s="15" t="inlineStr">
        <is>
          <t>Penyusunan Tim Kerja</t>
        </is>
      </c>
      <c r="G119" s="15" t="inlineStr">
        <is>
          <t>A.1.i.a</t>
        </is>
      </c>
      <c r="H119" s="15" t="inlineStr">
        <is>
          <t>Unit kerja telah membentuk tim untuk melakukan pembangunan Zona Integritas</t>
        </is>
      </c>
      <c r="I119" s="15" t="inlineStr">
        <is>
          <t>Ya</t>
        </is>
      </c>
      <c r="J119" s="15" t="n">
        <v>1</v>
      </c>
      <c r="K119" s="49" t="n"/>
      <c r="L119" s="15" t="n"/>
      <c r="M119" s="15" t="inlineStr">
        <is>
          <t>—</t>
        </is>
      </c>
      <c r="N119" s="15" t="inlineStr">
        <is>
          <t>—</t>
        </is>
      </c>
      <c r="O119" s="15" t="inlineStr">
        <is>
          <t>—</t>
        </is>
      </c>
      <c r="P119" s="15" t="n"/>
      <c r="Q119" s="36" t="inlineStr">
        <is>
          <t xml:space="preserve"> telah membentuk tim untuk melakukan pembangunan Zona Integritas</t>
        </is>
      </c>
      <c r="R119" s="15" t="n">
        <v>6</v>
      </c>
    </row>
    <row r="120">
      <c r="A120" s="15" t="inlineStr">
        <is>
          <t>Kanwil BPN Provinsi Gorontalo</t>
        </is>
      </c>
      <c r="B120" s="15" t="inlineStr">
        <is>
          <t>PENGUNGKIT</t>
        </is>
      </c>
      <c r="C120" s="15" t="inlineStr">
        <is>
          <t>1</t>
        </is>
      </c>
      <c r="D120" s="15" t="inlineStr">
        <is>
          <t>MANAJEMEN PERUBAHAN</t>
        </is>
      </c>
      <c r="E120" s="15" t="inlineStr">
        <is>
          <t>i</t>
        </is>
      </c>
      <c r="F120" s="15" t="inlineStr">
        <is>
          <t>Penyusunan Tim Kerja</t>
        </is>
      </c>
      <c r="G120" s="15" t="inlineStr">
        <is>
          <t>A.1.i.b</t>
        </is>
      </c>
      <c r="H120" s="15" t="inlineStr">
        <is>
          <t>Penentuan anggota Tim dipilih melalui prosedur/mekanisme yang jelas</t>
        </is>
      </c>
      <c r="I120" s="15" t="inlineStr">
        <is>
          <t>A</t>
        </is>
      </c>
      <c r="J120" s="15" t="n">
        <v>1</v>
      </c>
      <c r="K120" s="49" t="n"/>
      <c r="L120" s="15" t="n"/>
      <c r="M120" s="15" t="inlineStr">
        <is>
          <t>—</t>
        </is>
      </c>
      <c r="N120" s="15" t="inlineStr">
        <is>
          <t>—</t>
        </is>
      </c>
      <c r="O120" s="15" t="inlineStr">
        <is>
          <t>—</t>
        </is>
      </c>
      <c r="P120" s="15" t="n"/>
      <c r="Q120" s="36" t="inlineStr">
        <is>
          <t>https://drive.google.com/drive/folders/16N-m8ndADyn38GuYWTPpF8BqHqDUpjiX?usp=drive_link</t>
        </is>
      </c>
      <c r="R120" s="15" t="n">
        <v>7</v>
      </c>
    </row>
    <row r="121">
      <c r="A121" s="15" t="inlineStr">
        <is>
          <t>Kanwil BPN Provinsi Gorontalo</t>
        </is>
      </c>
      <c r="B121" s="15" t="inlineStr">
        <is>
          <t>PENGUNGKIT</t>
        </is>
      </c>
      <c r="C121" s="15" t="inlineStr">
        <is>
          <t>1</t>
        </is>
      </c>
      <c r="D121" s="15" t="inlineStr">
        <is>
          <t>MANAJEMEN PERUBAHAN</t>
        </is>
      </c>
      <c r="E121" s="15" t="inlineStr">
        <is>
          <t>ii</t>
        </is>
      </c>
      <c r="F121" s="15" t="inlineStr">
        <is>
          <t>Rencana Pembangunan Zona Integritas</t>
        </is>
      </c>
      <c r="G121" s="15" t="inlineStr">
        <is>
          <t>A.1.ii.a</t>
        </is>
      </c>
      <c r="H121" s="15" t="inlineStr">
        <is>
          <t>Terdapat dokumen rencana kerja pembangunan Zona Integritas menuju WBK/WBBM</t>
        </is>
      </c>
      <c r="I121" s="15" t="inlineStr">
        <is>
          <t>Ya</t>
        </is>
      </c>
      <c r="J121" s="15" t="n">
        <v>1</v>
      </c>
      <c r="K121" s="49" t="n"/>
      <c r="L121" s="15" t="n"/>
      <c r="M121" s="15" t="inlineStr">
        <is>
          <t>—</t>
        </is>
      </c>
      <c r="N121" s="15" t="inlineStr">
        <is>
          <t>—</t>
        </is>
      </c>
      <c r="O121" s="15" t="inlineStr">
        <is>
          <t>—</t>
        </is>
      </c>
      <c r="P121" s="15" t="n"/>
      <c r="Q121" s="36" t="inlineStr">
        <is>
          <t>2A</t>
        </is>
      </c>
      <c r="R121" s="15" t="n">
        <v>9</v>
      </c>
    </row>
    <row r="122">
      <c r="A122" s="15" t="inlineStr">
        <is>
          <t>Kanwil BPN Provinsi Gorontalo</t>
        </is>
      </c>
      <c r="B122" s="15" t="inlineStr">
        <is>
          <t>PENGUNGKIT</t>
        </is>
      </c>
      <c r="C122" s="15" t="inlineStr">
        <is>
          <t>1</t>
        </is>
      </c>
      <c r="D122" s="15" t="inlineStr">
        <is>
          <t>MANAJEMEN PERUBAHAN</t>
        </is>
      </c>
      <c r="E122" s="15" t="inlineStr">
        <is>
          <t>ii</t>
        </is>
      </c>
      <c r="F122" s="15" t="inlineStr">
        <is>
          <t>Rencana Pembangunan Zona Integritas</t>
        </is>
      </c>
      <c r="G122" s="15" t="inlineStr">
        <is>
          <t>A.1.ii.b</t>
        </is>
      </c>
      <c r="H122" s="15" t="inlineStr">
        <is>
          <t>Dalam dokumen pembangunan terdapat target-target prioritas yang relevan dengan tujuan pembangunan WBK/WBBM</t>
        </is>
      </c>
      <c r="I122" s="15" t="inlineStr">
        <is>
          <t>A</t>
        </is>
      </c>
      <c r="J122" s="15" t="n">
        <v>1</v>
      </c>
      <c r="K122" s="49" t="n"/>
      <c r="L122" s="15" t="n"/>
      <c r="M122" s="15" t="inlineStr">
        <is>
          <t>—</t>
        </is>
      </c>
      <c r="N122" s="15" t="inlineStr">
        <is>
          <t>—</t>
        </is>
      </c>
      <c r="O122" s="15" t="inlineStr">
        <is>
          <t>—</t>
        </is>
      </c>
      <c r="P122" s="15" t="n"/>
      <c r="Q122" s="36" t="inlineStr">
        <is>
          <t>https://drive.google.com/drive/folders/17s5PQbe7S0gIFOS9QedA2yWLAE8Yuiey?usp=drive_link</t>
        </is>
      </c>
      <c r="R122" s="15" t="n">
        <v>10</v>
      </c>
    </row>
    <row r="123">
      <c r="A123" s="15" t="inlineStr">
        <is>
          <t>Kanwil BPN Provinsi Gorontalo</t>
        </is>
      </c>
      <c r="B123" s="15" t="inlineStr">
        <is>
          <t>PENGUNGKIT</t>
        </is>
      </c>
      <c r="C123" s="15" t="inlineStr">
        <is>
          <t>1</t>
        </is>
      </c>
      <c r="D123" s="15" t="inlineStr">
        <is>
          <t>MANAJEMEN PERUBAHAN</t>
        </is>
      </c>
      <c r="E123" s="15" t="inlineStr">
        <is>
          <t>ii</t>
        </is>
      </c>
      <c r="F123" s="15" t="inlineStr">
        <is>
          <t>Rencana Pembangunan Zona Integritas</t>
        </is>
      </c>
      <c r="G123" s="15" t="inlineStr">
        <is>
          <t>A.1.ii.c</t>
        </is>
      </c>
      <c r="H123" s="15" t="inlineStr">
        <is>
          <t>Terdapat mekanisme atau media untuk mensosialisasikan pembangunan WBK/WBBM</t>
        </is>
      </c>
      <c r="I123" s="15" t="inlineStr">
        <is>
          <t>A</t>
        </is>
      </c>
      <c r="J123" s="15" t="n">
        <v>1</v>
      </c>
      <c r="K123" s="49" t="n"/>
      <c r="L123" s="15" t="n"/>
      <c r="M123" s="15" t="inlineStr">
        <is>
          <t>—</t>
        </is>
      </c>
      <c r="N123" s="15" t="inlineStr">
        <is>
          <t>—</t>
        </is>
      </c>
      <c r="O123" s="15" t="inlineStr">
        <is>
          <t>—</t>
        </is>
      </c>
      <c r="P123" s="15" t="n"/>
      <c r="Q123" s="36" t="inlineStr">
        <is>
          <t>https://drive.google.com/drive/folders/1-vITGsIShT4tzGs9Qy-6fSyyl6wUVAzL?usp=drive_link</t>
        </is>
      </c>
      <c r="R123" s="15" t="n">
        <v>11</v>
      </c>
    </row>
    <row r="124">
      <c r="A124" s="15" t="inlineStr">
        <is>
          <t>Kanwil BPN Provinsi Gorontalo</t>
        </is>
      </c>
      <c r="B124" s="15" t="inlineStr">
        <is>
          <t>PENGUNGKIT</t>
        </is>
      </c>
      <c r="C124" s="15" t="inlineStr">
        <is>
          <t>1</t>
        </is>
      </c>
      <c r="D124" s="15" t="inlineStr">
        <is>
          <t>MANAJEMEN PERUBAHAN</t>
        </is>
      </c>
      <c r="E124" s="15" t="inlineStr">
        <is>
          <t>iii</t>
        </is>
      </c>
      <c r="F124" s="15" t="inlineStr"/>
      <c r="G124" s="15" t="inlineStr">
        <is>
          <t>A.1.iii.a</t>
        </is>
      </c>
      <c r="H124" s="15" t="inlineStr">
        <is>
          <t>Seluruh kegiatan pembangunan sudah dilaksanakan sesuai dengan rencana</t>
        </is>
      </c>
      <c r="I124" s="15" t="inlineStr">
        <is>
          <t>A</t>
        </is>
      </c>
      <c r="J124" s="15" t="n">
        <v>1</v>
      </c>
      <c r="K124" s="49" t="n"/>
      <c r="L124" s="15" t="n"/>
      <c r="M124" s="15" t="inlineStr">
        <is>
          <t>—</t>
        </is>
      </c>
      <c r="N124" s="15" t="inlineStr">
        <is>
          <t>—</t>
        </is>
      </c>
      <c r="O124" s="15" t="inlineStr">
        <is>
          <t>—</t>
        </is>
      </c>
      <c r="P124" s="15" t="n"/>
      <c r="Q124" s="36" t="inlineStr">
        <is>
          <t>3A</t>
        </is>
      </c>
      <c r="R124" s="15" t="n">
        <v>13</v>
      </c>
    </row>
    <row r="125">
      <c r="A125" s="15" t="inlineStr">
        <is>
          <t>Kanwil BPN Provinsi Gorontalo</t>
        </is>
      </c>
      <c r="B125" s="15" t="inlineStr">
        <is>
          <t>PENGUNGKIT</t>
        </is>
      </c>
      <c r="C125" s="15" t="inlineStr">
        <is>
          <t>1</t>
        </is>
      </c>
      <c r="D125" s="15" t="inlineStr">
        <is>
          <t>MANAJEMEN PERUBAHAN</t>
        </is>
      </c>
      <c r="E125" s="15" t="inlineStr">
        <is>
          <t>iii</t>
        </is>
      </c>
      <c r="F125" s="15" t="inlineStr"/>
      <c r="G125" s="15" t="inlineStr">
        <is>
          <t>A.1.iii.b</t>
        </is>
      </c>
      <c r="H125" s="15" t="inlineStr">
        <is>
          <t>Terdapat monitoring dan evaluasi terhadap pembangunan Zona Integritas</t>
        </is>
      </c>
      <c r="I125" s="15" t="inlineStr">
        <is>
          <t>B</t>
        </is>
      </c>
      <c r="J125" s="15" t="n">
        <v>0.67</v>
      </c>
      <c r="K125" s="49" t="n"/>
      <c r="L125" s="15" t="n"/>
      <c r="M125" s="15" t="inlineStr">
        <is>
          <t>—</t>
        </is>
      </c>
      <c r="N125" s="15" t="inlineStr">
        <is>
          <t>—</t>
        </is>
      </c>
      <c r="O125" s="15" t="inlineStr">
        <is>
          <t>—</t>
        </is>
      </c>
      <c r="P125" s="15" t="n"/>
      <c r="Q125" s="36" t="inlineStr">
        <is>
          <t>https://drive.google.com/drive/folders/1oWb5cRs3M3qXaYE1IF-_jhIeEAJ6CWun?usp=drive_link</t>
        </is>
      </c>
      <c r="R125" s="15" t="n">
        <v>14</v>
      </c>
    </row>
    <row r="126">
      <c r="A126" s="15" t="inlineStr">
        <is>
          <t>Kanwil BPN Provinsi Gorontalo</t>
        </is>
      </c>
      <c r="B126" s="15" t="inlineStr">
        <is>
          <t>PENGUNGKIT</t>
        </is>
      </c>
      <c r="C126" s="15" t="inlineStr">
        <is>
          <t>1</t>
        </is>
      </c>
      <c r="D126" s="15" t="inlineStr">
        <is>
          <t>MANAJEMEN PERUBAHAN</t>
        </is>
      </c>
      <c r="E126" s="15" t="inlineStr">
        <is>
          <t>iii</t>
        </is>
      </c>
      <c r="F126" s="15" t="inlineStr"/>
      <c r="G126" s="15" t="inlineStr">
        <is>
          <t>A.1.iii.c</t>
        </is>
      </c>
      <c r="H126" s="15" t="inlineStr">
        <is>
          <t>Hasil Monitoring dan Evaluasi telah ditindaklanjuti</t>
        </is>
      </c>
      <c r="I126" s="15" t="inlineStr">
        <is>
          <t>B</t>
        </is>
      </c>
      <c r="J126" s="15" t="n">
        <v>0.67</v>
      </c>
      <c r="K126" s="49" t="n"/>
      <c r="L126" s="15" t="n"/>
      <c r="M126" s="15" t="inlineStr">
        <is>
          <t>—</t>
        </is>
      </c>
      <c r="N126" s="15" t="inlineStr">
        <is>
          <t>—</t>
        </is>
      </c>
      <c r="O126" s="15" t="inlineStr">
        <is>
          <t>—</t>
        </is>
      </c>
      <c r="P126" s="15" t="n"/>
      <c r="Q126" s="36" t="inlineStr">
        <is>
          <t>https://drive.google.com/drive/folders/1ea1Ym5XNyd_VHJUrAFLQfoYfY2HNliFZ?usp=drive_link</t>
        </is>
      </c>
      <c r="R126" s="15" t="n">
        <v>15</v>
      </c>
    </row>
    <row r="127">
      <c r="A127" s="15" t="inlineStr">
        <is>
          <t>Kanwil BPN Provinsi Gorontalo</t>
        </is>
      </c>
      <c r="B127" s="15" t="inlineStr">
        <is>
          <t>PENGUNGKIT</t>
        </is>
      </c>
      <c r="C127" s="15" t="inlineStr">
        <is>
          <t>1</t>
        </is>
      </c>
      <c r="D127" s="15" t="inlineStr">
        <is>
          <t>MANAJEMEN PERUBAHAN</t>
        </is>
      </c>
      <c r="E127" s="15" t="inlineStr">
        <is>
          <t>iv</t>
        </is>
      </c>
      <c r="F127" s="15" t="inlineStr"/>
      <c r="G127" s="15" t="inlineStr">
        <is>
          <t>A.1.iv.a</t>
        </is>
      </c>
      <c r="H127" s="15" t="inlineStr">
        <is>
          <t>Pimpinan berperan sebagai role model dalam pelaksanaan Pembangunan WBK/WBBM</t>
        </is>
      </c>
      <c r="I127" s="15" t="inlineStr">
        <is>
          <t>Tidak</t>
        </is>
      </c>
      <c r="J127" s="15" t="n">
        <v>0</v>
      </c>
      <c r="K127" s="49" t="n"/>
      <c r="L127" s="15" t="n"/>
      <c r="M127" s="15" t="inlineStr">
        <is>
          <t>—</t>
        </is>
      </c>
      <c r="N127" s="15" t="inlineStr">
        <is>
          <t>—</t>
        </is>
      </c>
      <c r="O127" s="15" t="inlineStr">
        <is>
          <t>—</t>
        </is>
      </c>
      <c r="P127" s="15" t="n"/>
      <c r="Q127" s="36" t="inlineStr">
        <is>
          <t>https://drive.google.com/drive/folders/1DCFtiAxz7x6pcK71s0AycXULAFaK0cgm?usp=drive_link</t>
        </is>
      </c>
      <c r="R127" s="15" t="n">
        <v>17</v>
      </c>
    </row>
    <row r="128">
      <c r="A128" s="15" t="inlineStr">
        <is>
          <t>Kanwil BPN Provinsi Gorontalo</t>
        </is>
      </c>
      <c r="B128" s="15" t="inlineStr">
        <is>
          <t>PENGUNGKIT</t>
        </is>
      </c>
      <c r="C128" s="15" t="inlineStr">
        <is>
          <t>1</t>
        </is>
      </c>
      <c r="D128" s="15" t="inlineStr">
        <is>
          <t>MANAJEMEN PERUBAHAN</t>
        </is>
      </c>
      <c r="E128" s="15" t="inlineStr">
        <is>
          <t>iv</t>
        </is>
      </c>
      <c r="F128" s="15" t="inlineStr"/>
      <c r="G128" s="15" t="inlineStr">
        <is>
          <t>A.1.iv.b</t>
        </is>
      </c>
      <c r="H128" s="15" t="inlineStr">
        <is>
          <t>Sudah ditetapkan agen perubahan</t>
        </is>
      </c>
      <c r="I128" s="15" t="inlineStr">
        <is>
          <t>A</t>
        </is>
      </c>
      <c r="J128" s="15" t="n">
        <v>1</v>
      </c>
      <c r="K128" s="49" t="n"/>
      <c r="L128" s="15" t="n"/>
      <c r="M128" s="15" t="inlineStr">
        <is>
          <t>—</t>
        </is>
      </c>
      <c r="N128" s="15" t="inlineStr">
        <is>
          <t>—</t>
        </is>
      </c>
      <c r="O128" s="15" t="inlineStr">
        <is>
          <t>—</t>
        </is>
      </c>
      <c r="P128" s="15" t="n"/>
      <c r="Q128" s="36" t="inlineStr">
        <is>
          <t>https://drive.google.com/drive/folders/1p2pRAipsIcgfW_exu51qlApZ1h5e93H3?usp=drive_link</t>
        </is>
      </c>
      <c r="R128" s="15" t="n">
        <v>18</v>
      </c>
    </row>
    <row r="129">
      <c r="A129" s="15" t="inlineStr">
        <is>
          <t>Kanwil BPN Provinsi Gorontalo</t>
        </is>
      </c>
      <c r="B129" s="15" t="inlineStr">
        <is>
          <t>PENGUNGKIT</t>
        </is>
      </c>
      <c r="C129" s="15" t="inlineStr">
        <is>
          <t>1</t>
        </is>
      </c>
      <c r="D129" s="15" t="inlineStr">
        <is>
          <t>MANAJEMEN PERUBAHAN</t>
        </is>
      </c>
      <c r="E129" s="15" t="inlineStr">
        <is>
          <t>iv</t>
        </is>
      </c>
      <c r="F129" s="15" t="inlineStr"/>
      <c r="G129" s="15" t="inlineStr">
        <is>
          <t>A.1.iv.c</t>
        </is>
      </c>
      <c r="H129" s="15" t="inlineStr">
        <is>
          <t>Telah dibangun budaya kerja dan pola pikir di lingkungan organisasi</t>
        </is>
      </c>
      <c r="I129" s="15" t="inlineStr">
        <is>
          <t>A</t>
        </is>
      </c>
      <c r="J129" s="15" t="n">
        <v>1</v>
      </c>
      <c r="K129" s="49" t="n"/>
      <c r="L129" s="15" t="n"/>
      <c r="M129" s="15" t="inlineStr">
        <is>
          <t>—</t>
        </is>
      </c>
      <c r="N129" s="15" t="inlineStr">
        <is>
          <t>—</t>
        </is>
      </c>
      <c r="O129" s="15" t="inlineStr">
        <is>
          <t>—</t>
        </is>
      </c>
      <c r="P129" s="15" t="n"/>
      <c r="Q129" s="36" t="inlineStr">
        <is>
          <t>https://drive.google.com/drive/folders/1ZUV3xhJZBDMsUwKFGBYN4o3bXY6OoZ6z?usp=drive_link</t>
        </is>
      </c>
      <c r="R129" s="15" t="n">
        <v>19</v>
      </c>
    </row>
    <row r="130">
      <c r="A130" s="15" t="inlineStr">
        <is>
          <t>Kanwil BPN Provinsi Gorontalo</t>
        </is>
      </c>
      <c r="B130" s="15" t="inlineStr">
        <is>
          <t>PENGUNGKIT</t>
        </is>
      </c>
      <c r="C130" s="15" t="inlineStr">
        <is>
          <t>1</t>
        </is>
      </c>
      <c r="D130" s="15" t="inlineStr">
        <is>
          <t>MANAJEMEN PERUBAHAN</t>
        </is>
      </c>
      <c r="E130" s="15" t="inlineStr">
        <is>
          <t>iv</t>
        </is>
      </c>
      <c r="F130" s="15" t="inlineStr"/>
      <c r="G130" s="15" t="inlineStr">
        <is>
          <t>A.1.iv.d</t>
        </is>
      </c>
      <c r="H130" s="15" t="inlineStr">
        <is>
          <t>Anggota organisasi terlibat dalam pembangunan Zona Integritas menuju WBK/WBBM</t>
        </is>
      </c>
      <c r="I130" s="15" t="inlineStr">
        <is>
          <t>A</t>
        </is>
      </c>
      <c r="J130" s="15" t="n">
        <v>1</v>
      </c>
      <c r="K130" s="49" t="n"/>
      <c r="L130" s="15" t="n"/>
      <c r="M130" s="15" t="inlineStr">
        <is>
          <t>—</t>
        </is>
      </c>
      <c r="N130" s="15" t="inlineStr">
        <is>
          <t>—</t>
        </is>
      </c>
      <c r="O130" s="15" t="inlineStr">
        <is>
          <t>—</t>
        </is>
      </c>
      <c r="P130" s="15" t="n"/>
      <c r="Q130" s="36" t="inlineStr">
        <is>
          <t>https://drive.google.com/drive/folders/1ayMwDNLmcemGTjzT2IrOsO7QAVQpxIHx?usp=drive_link</t>
        </is>
      </c>
      <c r="R130" s="15" t="n">
        <v>20</v>
      </c>
    </row>
    <row r="131">
      <c r="A131" s="15" t="inlineStr">
        <is>
          <t>Kanwil BPN Provinsi Gorontalo</t>
        </is>
      </c>
      <c r="B131" s="15" t="inlineStr">
        <is>
          <t>PENGUNGKIT</t>
        </is>
      </c>
      <c r="C131" s="15" t="inlineStr">
        <is>
          <t>2</t>
        </is>
      </c>
      <c r="D131" s="15" t="inlineStr">
        <is>
          <t>PENATAAN TATALAKSANA</t>
        </is>
      </c>
      <c r="E131" s="15" t="inlineStr">
        <is>
          <t>i</t>
        </is>
      </c>
      <c r="F131" s="15" t="inlineStr">
        <is>
          <t>Prosedur Operasional Tetap (SOP) Kegiatan Utama</t>
        </is>
      </c>
      <c r="G131" s="15" t="inlineStr">
        <is>
          <t>A.2.i.a</t>
        </is>
      </c>
      <c r="H131" s="15" t="inlineStr">
        <is>
          <t>SOP mengacu pada peta proses bisnis instansi</t>
        </is>
      </c>
      <c r="I131" s="15" t="inlineStr">
        <is>
          <t>D</t>
        </is>
      </c>
      <c r="J131" s="15" t="n">
        <v>0</v>
      </c>
      <c r="K131" s="49" t="n"/>
      <c r="L131" s="15" t="n"/>
      <c r="M131" s="15" t="inlineStr">
        <is>
          <t>—</t>
        </is>
      </c>
      <c r="N131" s="15" t="inlineStr">
        <is>
          <t>—</t>
        </is>
      </c>
      <c r="O131" s="15" t="inlineStr">
        <is>
          <t>—</t>
        </is>
      </c>
      <c r="P131" s="15" t="n"/>
      <c r="Q131" s="36" t="inlineStr">
        <is>
          <t>https://drive.google.com/drive/folders/12YtW_-cZP3nWRd2tQzlTnF5ZR6fyWZ2G?usp=drive_link</t>
        </is>
      </c>
      <c r="R131" s="15" t="n">
        <v>23</v>
      </c>
    </row>
    <row r="132">
      <c r="A132" s="15" t="inlineStr">
        <is>
          <t>Kanwil BPN Provinsi Gorontalo</t>
        </is>
      </c>
      <c r="B132" s="15" t="inlineStr">
        <is>
          <t>PENGUNGKIT</t>
        </is>
      </c>
      <c r="C132" s="15" t="inlineStr">
        <is>
          <t>2</t>
        </is>
      </c>
      <c r="D132" s="15" t="inlineStr">
        <is>
          <t>PENATAAN TATALAKSANA</t>
        </is>
      </c>
      <c r="E132" s="15" t="inlineStr">
        <is>
          <t>i</t>
        </is>
      </c>
      <c r="F132" s="15" t="inlineStr">
        <is>
          <t>Prosedur Operasional Tetap (SOP) Kegiatan Utama</t>
        </is>
      </c>
      <c r="G132" s="15" t="inlineStr">
        <is>
          <t>A.2.i.b</t>
        </is>
      </c>
      <c r="H132" s="15" t="inlineStr">
        <is>
          <t>Prosedur operasional tetap (SOP) telah diterapkan</t>
        </is>
      </c>
      <c r="I132" s="15" t="inlineStr">
        <is>
          <t>A</t>
        </is>
      </c>
      <c r="J132" s="15" t="n">
        <v>1</v>
      </c>
      <c r="K132" s="49" t="n"/>
      <c r="L132" s="15" t="n"/>
      <c r="M132" s="15" t="inlineStr">
        <is>
          <t>—</t>
        </is>
      </c>
      <c r="N132" s="15" t="inlineStr">
        <is>
          <t>—</t>
        </is>
      </c>
      <c r="O132" s="15" t="inlineStr">
        <is>
          <t>—</t>
        </is>
      </c>
      <c r="P132" s="15" t="n"/>
      <c r="Q132" s="36" t="inlineStr">
        <is>
          <t>https://drive.google.com/drive/folders/1bZ05k9CkNfevpwSfuD1u2epTIdKSNx_h?usp=drive_link</t>
        </is>
      </c>
      <c r="R132" s="15" t="n">
        <v>24</v>
      </c>
    </row>
    <row r="133">
      <c r="A133" s="15" t="inlineStr">
        <is>
          <t>Kanwil BPN Provinsi Gorontalo</t>
        </is>
      </c>
      <c r="B133" s="15" t="inlineStr">
        <is>
          <t>PENGUNGKIT</t>
        </is>
      </c>
      <c r="C133" s="15" t="inlineStr">
        <is>
          <t>2</t>
        </is>
      </c>
      <c r="D133" s="15" t="inlineStr">
        <is>
          <t>PENATAAN TATALAKSANA</t>
        </is>
      </c>
      <c r="E133" s="15" t="inlineStr">
        <is>
          <t>i</t>
        </is>
      </c>
      <c r="F133" s="15" t="inlineStr">
        <is>
          <t>Prosedur Operasional Tetap (SOP) Kegiatan Utama</t>
        </is>
      </c>
      <c r="G133" s="15" t="inlineStr">
        <is>
          <t>A.2.i.c</t>
        </is>
      </c>
      <c r="H133" s="15" t="inlineStr">
        <is>
          <t>Prosedur operasional tetap (SOP) telah dievaluasi</t>
        </is>
      </c>
      <c r="I133" s="15" t="inlineStr">
        <is>
          <t>C</t>
        </is>
      </c>
      <c r="J133" s="15" t="n">
        <v>0.5</v>
      </c>
      <c r="K133" s="49" t="n"/>
      <c r="L133" s="15" t="n"/>
      <c r="M133" s="15" t="inlineStr">
        <is>
          <t>—</t>
        </is>
      </c>
      <c r="N133" s="15" t="inlineStr">
        <is>
          <t>—</t>
        </is>
      </c>
      <c r="O133" s="15" t="inlineStr">
        <is>
          <t>—</t>
        </is>
      </c>
      <c r="P133" s="15" t="n"/>
      <c r="Q133" s="36" t="inlineStr">
        <is>
          <t>https://drive.google.com/drive/folders/1-M8v-DPrQ2sLA-aTVc3tjmDnf4LMYzZZ?usp=drive_link</t>
        </is>
      </c>
      <c r="R133" s="15" t="n">
        <v>25</v>
      </c>
    </row>
    <row r="134">
      <c r="A134" s="15" t="inlineStr">
        <is>
          <t>Kanwil BPN Provinsi Gorontalo</t>
        </is>
      </c>
      <c r="B134" s="15" t="inlineStr">
        <is>
          <t>PENGUNGKIT</t>
        </is>
      </c>
      <c r="C134" s="15" t="inlineStr">
        <is>
          <t>2</t>
        </is>
      </c>
      <c r="D134" s="15" t="inlineStr">
        <is>
          <t>PENATAAN TATALAKSANA</t>
        </is>
      </c>
      <c r="E134" s="15" t="inlineStr">
        <is>
          <t>ii</t>
        </is>
      </c>
      <c r="F134" s="15" t="inlineStr">
        <is>
          <t>Sistem Pemerintahan Berbasis Elektronik (SPBE)</t>
        </is>
      </c>
      <c r="G134" s="15" t="inlineStr">
        <is>
          <t>A.2.ii.a</t>
        </is>
      </c>
      <c r="H134" s="15" t="inlineStr">
        <is>
          <t>Sistem pengukuran kinerja unit sudah menggunakan teknologi informasi</t>
        </is>
      </c>
      <c r="I134" s="15" t="inlineStr">
        <is>
          <t>A</t>
        </is>
      </c>
      <c r="J134" s="15" t="n">
        <v>1</v>
      </c>
      <c r="K134" s="49" t="n"/>
      <c r="L134" s="15" t="n"/>
      <c r="M134" s="15" t="inlineStr">
        <is>
          <t>—</t>
        </is>
      </c>
      <c r="N134" s="15" t="inlineStr">
        <is>
          <t>—</t>
        </is>
      </c>
      <c r="O134" s="15" t="inlineStr">
        <is>
          <t>—</t>
        </is>
      </c>
      <c r="P134" s="15" t="n"/>
      <c r="Q134" s="36" t="inlineStr">
        <is>
          <t>https://drive.google.com/drive/folders/19YaOg9iaTRa3qNsZ7OSMQYOBHtWv0HBZ?usp=drive_link</t>
        </is>
      </c>
      <c r="R134" s="15" t="n">
        <v>27</v>
      </c>
    </row>
    <row r="135">
      <c r="A135" s="15" t="inlineStr">
        <is>
          <t>Kanwil BPN Provinsi Gorontalo</t>
        </is>
      </c>
      <c r="B135" s="15" t="inlineStr">
        <is>
          <t>PENGUNGKIT</t>
        </is>
      </c>
      <c r="C135" s="15" t="inlineStr">
        <is>
          <t>2</t>
        </is>
      </c>
      <c r="D135" s="15" t="inlineStr">
        <is>
          <t>PENATAAN TATALAKSANA</t>
        </is>
      </c>
      <c r="E135" s="15" t="inlineStr">
        <is>
          <t>ii</t>
        </is>
      </c>
      <c r="F135" s="15" t="inlineStr">
        <is>
          <t>Sistem Pemerintahan Berbasis Elektronik (SPBE)</t>
        </is>
      </c>
      <c r="G135" s="15" t="inlineStr">
        <is>
          <t>A.2.ii.b</t>
        </is>
      </c>
      <c r="H135" s="15" t="inlineStr">
        <is>
          <t>Operasionalisasi manajemen SDM sudah menggunakan teknologi informasi</t>
        </is>
      </c>
      <c r="I135" s="15" t="inlineStr">
        <is>
          <t>A</t>
        </is>
      </c>
      <c r="J135" s="15" t="n">
        <v>1</v>
      </c>
      <c r="K135" s="49" t="n"/>
      <c r="L135" s="15" t="n"/>
      <c r="M135" s="15" t="inlineStr">
        <is>
          <t>—</t>
        </is>
      </c>
      <c r="N135" s="15" t="inlineStr">
        <is>
          <t>—</t>
        </is>
      </c>
      <c r="O135" s="15" t="inlineStr">
        <is>
          <t>—</t>
        </is>
      </c>
      <c r="P135" s="15" t="n"/>
      <c r="Q135" s="36" t="inlineStr">
        <is>
          <t>https://drive.google.com/drive/folders/1bj0jrPl3M_rhvkr0F9XPXGd2yLAB_A11?usp=drive_link</t>
        </is>
      </c>
      <c r="R135" s="15" t="n">
        <v>28</v>
      </c>
    </row>
    <row r="136">
      <c r="A136" s="15" t="inlineStr">
        <is>
          <t>Kanwil BPN Provinsi Gorontalo</t>
        </is>
      </c>
      <c r="B136" s="15" t="inlineStr">
        <is>
          <t>PENGUNGKIT</t>
        </is>
      </c>
      <c r="C136" s="15" t="inlineStr">
        <is>
          <t>2</t>
        </is>
      </c>
      <c r="D136" s="15" t="inlineStr">
        <is>
          <t>PENATAAN TATALAKSANA</t>
        </is>
      </c>
      <c r="E136" s="15" t="inlineStr">
        <is>
          <t>ii</t>
        </is>
      </c>
      <c r="F136" s="15" t="inlineStr">
        <is>
          <t>Sistem Pemerintahan Berbasis Elektronik (SPBE)</t>
        </is>
      </c>
      <c r="G136" s="15" t="inlineStr">
        <is>
          <t>A.2.ii.c</t>
        </is>
      </c>
      <c r="H136" s="15" t="inlineStr">
        <is>
          <t>Pemberian pelayanan kepada publik sudah menggunakan teknologi informasi</t>
        </is>
      </c>
      <c r="I136" s="15" t="inlineStr">
        <is>
          <t>A</t>
        </is>
      </c>
      <c r="J136" s="15" t="n">
        <v>1</v>
      </c>
      <c r="K136" s="49" t="n"/>
      <c r="L136" s="15" t="n"/>
      <c r="M136" s="15" t="inlineStr">
        <is>
          <t>—</t>
        </is>
      </c>
      <c r="N136" s="15" t="inlineStr">
        <is>
          <t>—</t>
        </is>
      </c>
      <c r="O136" s="15" t="inlineStr">
        <is>
          <t>—</t>
        </is>
      </c>
      <c r="P136" s="15" t="n"/>
      <c r="Q136" s="36" t="inlineStr">
        <is>
          <t>https://drive.google.com/drive/folders/1Fq8lID3SCXYNrWJwFPs2kt-hCabDxm0F?usp=drive_link</t>
        </is>
      </c>
      <c r="R136" s="15" t="n">
        <v>29</v>
      </c>
    </row>
    <row r="137">
      <c r="A137" s="15" t="inlineStr">
        <is>
          <t>Kanwil BPN Provinsi Gorontalo</t>
        </is>
      </c>
      <c r="B137" s="15" t="inlineStr">
        <is>
          <t>PENGUNGKIT</t>
        </is>
      </c>
      <c r="C137" s="15" t="inlineStr">
        <is>
          <t>2</t>
        </is>
      </c>
      <c r="D137" s="15" t="inlineStr">
        <is>
          <t>PENATAAN TATALAKSANA</t>
        </is>
      </c>
      <c r="E137" s="15" t="inlineStr">
        <is>
          <t>ii</t>
        </is>
      </c>
      <c r="F137" s="15" t="inlineStr">
        <is>
          <t>Sistem Pemerintahan Berbasis Elektronik (SPBE)</t>
        </is>
      </c>
      <c r="G137" s="15" t="inlineStr">
        <is>
          <t>A.2.ii.d</t>
        </is>
      </c>
      <c r="H137" s="15" t="inlineStr">
        <is>
          <t>Telah dilakukan monitoring dan dan evaluasi terhadap pemanfaatan teknologi informasi dalam pengukuran kinerja unit, operasionalisasi SDM, dan pemberian layanan kepada publik</t>
        </is>
      </c>
      <c r="I137" s="15" t="inlineStr">
        <is>
          <t>C</t>
        </is>
      </c>
      <c r="J137" s="15" t="n">
        <v>0</v>
      </c>
      <c r="K137" s="49" t="n"/>
      <c r="L137" s="15" t="n"/>
      <c r="M137" s="15" t="inlineStr">
        <is>
          <t>—</t>
        </is>
      </c>
      <c r="N137" s="15" t="inlineStr">
        <is>
          <t>—</t>
        </is>
      </c>
      <c r="O137" s="15" t="inlineStr">
        <is>
          <t>—</t>
        </is>
      </c>
      <c r="P137" s="15" t="n"/>
      <c r="Q137" s="36" t="inlineStr">
        <is>
          <t>https://drive.google.com/drive/folders/1j3qEXWtZltpPupBFRWza92rvhgJqq7qZ?usp=drive_link</t>
        </is>
      </c>
      <c r="R137" s="15" t="n">
        <v>30</v>
      </c>
    </row>
    <row r="138">
      <c r="A138" s="15" t="inlineStr">
        <is>
          <t>Kanwil BPN Provinsi Gorontalo</t>
        </is>
      </c>
      <c r="B138" s="15" t="inlineStr">
        <is>
          <t>PENGUNGKIT</t>
        </is>
      </c>
      <c r="C138" s="15" t="inlineStr">
        <is>
          <t>2</t>
        </is>
      </c>
      <c r="D138" s="15" t="inlineStr">
        <is>
          <t>PENATAAN TATALAKSANA</t>
        </is>
      </c>
      <c r="E138" s="15" t="inlineStr">
        <is>
          <t>iii</t>
        </is>
      </c>
      <c r="F138" s="15" t="inlineStr">
        <is>
          <t>Keterbukaan Informasi Publik</t>
        </is>
      </c>
      <c r="G138" s="15" t="inlineStr">
        <is>
          <t>A.2.iii.a</t>
        </is>
      </c>
      <c r="H138" s="15" t="inlineStr">
        <is>
          <t>Kebijakan tentang  keterbukaan informasi publik telah diterapkan</t>
        </is>
      </c>
      <c r="I138" s="15" t="inlineStr">
        <is>
          <t>C</t>
        </is>
      </c>
      <c r="J138" s="15" t="n">
        <v>0</v>
      </c>
      <c r="K138" s="49" t="n"/>
      <c r="L138" s="15" t="n"/>
      <c r="M138" s="15" t="inlineStr">
        <is>
          <t>—</t>
        </is>
      </c>
      <c r="N138" s="15" t="inlineStr">
        <is>
          <t>—</t>
        </is>
      </c>
      <c r="O138" s="15" t="inlineStr">
        <is>
          <t>—</t>
        </is>
      </c>
      <c r="P138" s="15" t="n"/>
      <c r="Q138" s="36" t="inlineStr">
        <is>
          <t>https://drive.google.com/drive/folders/1t9081nP9d6VGoC7ygJ13Xo9xmUCYiSnZ?usp=drive_link</t>
        </is>
      </c>
      <c r="R138" s="15" t="n">
        <v>32</v>
      </c>
    </row>
    <row r="139">
      <c r="A139" s="15" t="inlineStr">
        <is>
          <t>Kanwil BPN Provinsi Gorontalo</t>
        </is>
      </c>
      <c r="B139" s="15" t="inlineStr">
        <is>
          <t>PENGUNGKIT</t>
        </is>
      </c>
      <c r="C139" s="15" t="inlineStr">
        <is>
          <t>2</t>
        </is>
      </c>
      <c r="D139" s="15" t="inlineStr">
        <is>
          <t>PENATAAN TATALAKSANA</t>
        </is>
      </c>
      <c r="E139" s="15" t="inlineStr">
        <is>
          <t>iii</t>
        </is>
      </c>
      <c r="F139" s="15" t="inlineStr">
        <is>
          <t>Keterbukaan Informasi Publik</t>
        </is>
      </c>
      <c r="G139" s="15" t="inlineStr">
        <is>
          <t>A.2.iii.b</t>
        </is>
      </c>
      <c r="H139" s="15" t="inlineStr">
        <is>
          <t>Telah dilakukan monitoring dan evaluasi pelaksanaan kebijakan keterbukaan informasi publik</t>
        </is>
      </c>
      <c r="I139" s="15" t="inlineStr">
        <is>
          <t>C</t>
        </is>
      </c>
      <c r="J139" s="15" t="n">
        <v>0</v>
      </c>
      <c r="K139" s="49" t="n"/>
      <c r="L139" s="15" t="n"/>
      <c r="M139" s="15" t="inlineStr">
        <is>
          <t>—</t>
        </is>
      </c>
      <c r="N139" s="15" t="inlineStr">
        <is>
          <t>—</t>
        </is>
      </c>
      <c r="O139" s="15" t="inlineStr">
        <is>
          <t>—</t>
        </is>
      </c>
      <c r="P139" s="15" t="n"/>
      <c r="Q139" s="36" t="inlineStr">
        <is>
          <t>https://drive.google.com/drive/folders/13mfVDNZgF4rDsTQXud8kdU80Z473VogY?usp=drive_link</t>
        </is>
      </c>
      <c r="R139" s="15" t="n">
        <v>33</v>
      </c>
    </row>
    <row r="140">
      <c r="A140" s="15" t="inlineStr">
        <is>
          <t>Kanwil BPN Provinsi Gorontalo</t>
        </is>
      </c>
      <c r="B140" s="15" t="inlineStr">
        <is>
          <t>PENGUNGKIT</t>
        </is>
      </c>
      <c r="C140" s="15" t="inlineStr">
        <is>
          <t>3</t>
        </is>
      </c>
      <c r="D140" s="15" t="inlineStr">
        <is>
          <t>PENATAAN SISTEM MANAJEMEN SDM APARATUR</t>
        </is>
      </c>
      <c r="E140" s="15" t="inlineStr">
        <is>
          <t>i</t>
        </is>
      </c>
      <c r="F140" s="15" t="inlineStr">
        <is>
          <t>Perencanaan Kebutuhan Pegawai sesuai dengan Kebutuhan Organisasi</t>
        </is>
      </c>
      <c r="G140" s="15" t="inlineStr">
        <is>
          <t>A.3.i.a</t>
        </is>
      </c>
      <c r="H140" s="15" t="inlineStr">
        <is>
          <t>Kebutuhan pegawai yang disusun oleh unit kerja mengacu kepada peta jabatan dan hasil analisis beban kerja untuk masing-masing jabatan</t>
        </is>
      </c>
      <c r="I140" s="15" t="inlineStr">
        <is>
          <t>Ya</t>
        </is>
      </c>
      <c r="J140" s="15" t="n">
        <v>1</v>
      </c>
      <c r="K140" s="49" t="n"/>
      <c r="L140" s="15" t="n"/>
      <c r="M140" s="15" t="inlineStr">
        <is>
          <t>✓</t>
        </is>
      </c>
      <c r="N140" s="15" t="inlineStr">
        <is>
          <t>✓</t>
        </is>
      </c>
      <c r="O140" s="15" t="inlineStr">
        <is>
          <t>✓</t>
        </is>
      </c>
      <c r="P140" s="15" t="n"/>
      <c r="Q140" s="36" t="inlineStr">
        <is>
          <t>3.1.A</t>
        </is>
      </c>
      <c r="R140" s="15" t="n">
        <v>36</v>
      </c>
    </row>
    <row r="141">
      <c r="A141" s="15" t="inlineStr">
        <is>
          <t>Kanwil BPN Provinsi Gorontalo</t>
        </is>
      </c>
      <c r="B141" s="15" t="inlineStr">
        <is>
          <t>PENGUNGKIT</t>
        </is>
      </c>
      <c r="C141" s="15" t="inlineStr">
        <is>
          <t>3</t>
        </is>
      </c>
      <c r="D141" s="15" t="inlineStr">
        <is>
          <t>PENATAAN SISTEM MANAJEMEN SDM APARATUR</t>
        </is>
      </c>
      <c r="E141" s="15" t="inlineStr">
        <is>
          <t>i</t>
        </is>
      </c>
      <c r="F141" s="15" t="inlineStr">
        <is>
          <t>Perencanaan Kebutuhan Pegawai sesuai dengan Kebutuhan Organisasi</t>
        </is>
      </c>
      <c r="G141" s="15" t="inlineStr">
        <is>
          <t>A.3.i.b</t>
        </is>
      </c>
      <c r="H141" s="15" t="inlineStr">
        <is>
          <t>Penempatan pegawai hasil rekrutmen murni mengacu kepada kebutuhan pegawai yang telah disusun per jabatan</t>
        </is>
      </c>
      <c r="I141" s="15" t="inlineStr">
        <is>
          <t>A</t>
        </is>
      </c>
      <c r="J141" s="15" t="n">
        <v>1</v>
      </c>
      <c r="K141" s="49" t="n"/>
      <c r="L141" s="15" t="n"/>
      <c r="M141" s="15" t="inlineStr">
        <is>
          <t>—</t>
        </is>
      </c>
      <c r="N141" s="15" t="inlineStr">
        <is>
          <t>—</t>
        </is>
      </c>
      <c r="O141" s="15" t="inlineStr">
        <is>
          <t>—</t>
        </is>
      </c>
      <c r="P141" s="15" t="n"/>
      <c r="Q141" s="36" t="inlineStr">
        <is>
          <t>3.1.B</t>
        </is>
      </c>
      <c r="R141" s="15" t="n">
        <v>37</v>
      </c>
    </row>
    <row r="142">
      <c r="A142" s="15" t="inlineStr">
        <is>
          <t>Kanwil BPN Provinsi Gorontalo</t>
        </is>
      </c>
      <c r="B142" s="15" t="inlineStr">
        <is>
          <t>PENGUNGKIT</t>
        </is>
      </c>
      <c r="C142" s="15" t="inlineStr">
        <is>
          <t>3</t>
        </is>
      </c>
      <c r="D142" s="15" t="inlineStr">
        <is>
          <t>PENATAAN SISTEM MANAJEMEN SDM APARATUR</t>
        </is>
      </c>
      <c r="E142" s="15" t="inlineStr">
        <is>
          <t>i</t>
        </is>
      </c>
      <c r="F142" s="15" t="inlineStr">
        <is>
          <t>Perencanaan Kebutuhan Pegawai sesuai dengan Kebutuhan Organisasi</t>
        </is>
      </c>
      <c r="G142" s="15" t="inlineStr">
        <is>
          <t>A.3.i.c</t>
        </is>
      </c>
      <c r="H142" s="15" t="inlineStr">
        <is>
          <t>Telah dilakukan monitoring dan dan evaluasi terhadap penempatan pegawai rekrutmen untuk memenuhi kebutuhan jabatan dalam organisasi telah memberikan perbaikan terhadap kinerja unit kerja</t>
        </is>
      </c>
      <c r="I142" s="15" t="inlineStr">
        <is>
          <t>Ya</t>
        </is>
      </c>
      <c r="J142" s="15" t="n">
        <v>1</v>
      </c>
      <c r="K142" s="49" t="n"/>
      <c r="L142" s="15" t="n"/>
      <c r="M142" s="15" t="inlineStr">
        <is>
          <t>—</t>
        </is>
      </c>
      <c r="N142" s="15" t="inlineStr">
        <is>
          <t>—</t>
        </is>
      </c>
      <c r="O142" s="15" t="inlineStr">
        <is>
          <t>—</t>
        </is>
      </c>
      <c r="P142" s="15" t="n"/>
      <c r="Q142" s="36" t="inlineStr">
        <is>
          <t>3.1.C</t>
        </is>
      </c>
      <c r="R142" s="15" t="n">
        <v>38</v>
      </c>
    </row>
    <row r="143">
      <c r="A143" s="15" t="inlineStr">
        <is>
          <t>Kanwil BPN Provinsi Gorontalo</t>
        </is>
      </c>
      <c r="B143" s="15" t="inlineStr">
        <is>
          <t>PENGUNGKIT</t>
        </is>
      </c>
      <c r="C143" s="15" t="inlineStr">
        <is>
          <t>3</t>
        </is>
      </c>
      <c r="D143" s="15" t="inlineStr">
        <is>
          <t>PENATAAN SISTEM MANAJEMEN SDM APARATUR</t>
        </is>
      </c>
      <c r="E143" s="15" t="inlineStr">
        <is>
          <t>ii</t>
        </is>
      </c>
      <c r="F143" s="15" t="inlineStr">
        <is>
          <t>Pola Mutasi Internal</t>
        </is>
      </c>
      <c r="G143" s="15" t="inlineStr">
        <is>
          <t>A.3.ii.a</t>
        </is>
      </c>
      <c r="H143" s="15" t="inlineStr">
        <is>
          <t>Dalam melakukan pengembangan karier pegawai, telah dilakukan mutasi pegawai antar jabatan</t>
        </is>
      </c>
      <c r="I143" s="15" t="inlineStr">
        <is>
          <t>Ya</t>
        </is>
      </c>
      <c r="J143" s="15" t="n">
        <v>1</v>
      </c>
      <c r="K143" s="49" t="n"/>
      <c r="L143" s="15" t="n"/>
      <c r="M143" s="15" t="inlineStr">
        <is>
          <t>—</t>
        </is>
      </c>
      <c r="N143" s="15" t="inlineStr">
        <is>
          <t>—</t>
        </is>
      </c>
      <c r="O143" s="15" t="inlineStr">
        <is>
          <t>—</t>
        </is>
      </c>
      <c r="P143" s="15" t="n"/>
      <c r="Q143" s="36" t="inlineStr">
        <is>
          <t>https://drive.google.com/drive/folders/1Dk-W3bIdb35gabUwWZAYoqybx8S07fJx</t>
        </is>
      </c>
      <c r="R143" s="15" t="n">
        <v>40</v>
      </c>
    </row>
    <row r="144">
      <c r="A144" s="15" t="inlineStr">
        <is>
          <t>Kanwil BPN Provinsi Gorontalo</t>
        </is>
      </c>
      <c r="B144" s="15" t="inlineStr">
        <is>
          <t>PENGUNGKIT</t>
        </is>
      </c>
      <c r="C144" s="15" t="inlineStr">
        <is>
          <t>3</t>
        </is>
      </c>
      <c r="D144" s="15" t="inlineStr">
        <is>
          <t>PENATAAN SISTEM MANAJEMEN SDM APARATUR</t>
        </is>
      </c>
      <c r="E144" s="15" t="inlineStr">
        <is>
          <t>ii</t>
        </is>
      </c>
      <c r="F144" s="15" t="inlineStr">
        <is>
          <t>Pola Mutasi Internal</t>
        </is>
      </c>
      <c r="G144" s="15" t="inlineStr">
        <is>
          <t>A.3.ii.b</t>
        </is>
      </c>
      <c r="H144" s="15" t="inlineStr">
        <is>
          <t>Dalam melakukan mutasi pegawai antar jabatan telah memperhatikan kompetensi jabatan dan mengikuti pola mutasi yang telah ditetapkan</t>
        </is>
      </c>
      <c r="I144" s="15" t="inlineStr">
        <is>
          <t>A</t>
        </is>
      </c>
      <c r="J144" s="15" t="n">
        <v>1</v>
      </c>
      <c r="K144" s="49" t="n"/>
      <c r="L144" s="15" t="n"/>
      <c r="M144" s="15" t="inlineStr">
        <is>
          <t>—</t>
        </is>
      </c>
      <c r="N144" s="15" t="inlineStr">
        <is>
          <t>—</t>
        </is>
      </c>
      <c r="O144" s="15" t="inlineStr">
        <is>
          <t>—</t>
        </is>
      </c>
      <c r="P144" s="15" t="n"/>
      <c r="Q144" s="36" t="inlineStr">
        <is>
          <t>https://drive.google.com/drive/folders/13Q3BlwGuBVECRQYXhWEwhedhNFc1GMdF</t>
        </is>
      </c>
      <c r="R144" s="15" t="n">
        <v>41</v>
      </c>
    </row>
    <row r="145">
      <c r="A145" s="15" t="inlineStr">
        <is>
          <t>Kanwil BPN Provinsi Gorontalo</t>
        </is>
      </c>
      <c r="B145" s="15" t="inlineStr">
        <is>
          <t>PENGUNGKIT</t>
        </is>
      </c>
      <c r="C145" s="15" t="inlineStr">
        <is>
          <t>3</t>
        </is>
      </c>
      <c r="D145" s="15" t="inlineStr">
        <is>
          <t>PENATAAN SISTEM MANAJEMEN SDM APARATUR</t>
        </is>
      </c>
      <c r="E145" s="15" t="inlineStr">
        <is>
          <t>ii</t>
        </is>
      </c>
      <c r="F145" s="15" t="inlineStr">
        <is>
          <t>Pola Mutasi Internal</t>
        </is>
      </c>
      <c r="G145" s="15" t="inlineStr">
        <is>
          <t>A.3.ii.c</t>
        </is>
      </c>
      <c r="H145" s="15" t="inlineStr">
        <is>
          <t>Telah dilakukan monitoring dan evaluasi terhadap kegiatan mutasi yang telah dilakukan dalam kaitannya dengan perbaikan kinerja</t>
        </is>
      </c>
      <c r="I145" s="15" t="inlineStr">
        <is>
          <t>Tidak</t>
        </is>
      </c>
      <c r="J145" s="15" t="n">
        <v>0</v>
      </c>
      <c r="K145" s="49" t="n"/>
      <c r="L145" s="15" t="n"/>
      <c r="M145" s="15" t="inlineStr">
        <is>
          <t>—</t>
        </is>
      </c>
      <c r="N145" s="15" t="inlineStr">
        <is>
          <t>—</t>
        </is>
      </c>
      <c r="O145" s="15" t="inlineStr">
        <is>
          <t>—</t>
        </is>
      </c>
      <c r="P145" s="15" t="n"/>
      <c r="Q145" s="36" t="inlineStr">
        <is>
          <t>https://drive.google.com/drive/folders/1mX1T4rV_5ChsBKx6xS8ctNaeDDKxiJW9</t>
        </is>
      </c>
      <c r="R145" s="15" t="n">
        <v>42</v>
      </c>
    </row>
    <row r="146">
      <c r="A146" s="15" t="inlineStr">
        <is>
          <t>Kanwil BPN Provinsi Gorontalo</t>
        </is>
      </c>
      <c r="B146" s="15" t="inlineStr">
        <is>
          <t>PENGUNGKIT</t>
        </is>
      </c>
      <c r="C146" s="15" t="inlineStr">
        <is>
          <t>3</t>
        </is>
      </c>
      <c r="D146" s="15" t="inlineStr">
        <is>
          <t>PENATAAN SISTEM MANAJEMEN SDM APARATUR</t>
        </is>
      </c>
      <c r="E146" s="15" t="inlineStr">
        <is>
          <t>iii</t>
        </is>
      </c>
      <c r="F146" s="15" t="inlineStr">
        <is>
          <t>Pengembangan Pegawai Berbasis Kompetensi</t>
        </is>
      </c>
      <c r="G146" s="15" t="inlineStr">
        <is>
          <t>A.3.iii.a</t>
        </is>
      </c>
      <c r="H146" s="15" t="inlineStr">
        <is>
          <t>Unit Kerja melakukan Training Need Analysis Untuk pengembangan kompetensi</t>
        </is>
      </c>
      <c r="I146" s="15" t="inlineStr">
        <is>
          <t>Ya</t>
        </is>
      </c>
      <c r="J146" s="15" t="n">
        <v>1</v>
      </c>
      <c r="K146" s="49" t="n"/>
      <c r="L146" s="15" t="n"/>
      <c r="M146" s="15" t="inlineStr">
        <is>
          <t>—</t>
        </is>
      </c>
      <c r="N146" s="15" t="inlineStr">
        <is>
          <t>—</t>
        </is>
      </c>
      <c r="O146" s="15" t="inlineStr">
        <is>
          <t>—</t>
        </is>
      </c>
      <c r="P146" s="15" t="n"/>
      <c r="Q146" s="36" t="inlineStr">
        <is>
          <t>https://drive.google.com/drive/folders/1DmgKrq0IASVjRURSk0uzf9bB9s2_XYfT</t>
        </is>
      </c>
      <c r="R146" s="15" t="n">
        <v>44</v>
      </c>
    </row>
    <row r="147">
      <c r="A147" s="15" t="inlineStr">
        <is>
          <t>Kanwil BPN Provinsi Gorontalo</t>
        </is>
      </c>
      <c r="B147" s="15" t="inlineStr">
        <is>
          <t>PENGUNGKIT</t>
        </is>
      </c>
      <c r="C147" s="15" t="inlineStr">
        <is>
          <t>3</t>
        </is>
      </c>
      <c r="D147" s="15" t="inlineStr">
        <is>
          <t>PENATAAN SISTEM MANAJEMEN SDM APARATUR</t>
        </is>
      </c>
      <c r="E147" s="15" t="inlineStr">
        <is>
          <t>iii</t>
        </is>
      </c>
      <c r="F147" s="15" t="inlineStr">
        <is>
          <t>Pengembangan Pegawai Berbasis Kompetensi</t>
        </is>
      </c>
      <c r="G147" s="15" t="inlineStr">
        <is>
          <t>A.3.iii.b</t>
        </is>
      </c>
      <c r="H147" s="15" t="inlineStr">
        <is>
          <t>Dalam menyusun rencana pengembangan kompetensi pegawai, telah mempertimbangkan hasil pengelolaan kinerja pegawai</t>
        </is>
      </c>
      <c r="I147" s="15" t="inlineStr">
        <is>
          <t>A</t>
        </is>
      </c>
      <c r="J147" s="15" t="n">
        <v>1</v>
      </c>
      <c r="K147" s="49" t="n"/>
      <c r="L147" s="15" t="n"/>
      <c r="M147" s="15" t="inlineStr">
        <is>
          <t>—</t>
        </is>
      </c>
      <c r="N147" s="15" t="inlineStr">
        <is>
          <t>—</t>
        </is>
      </c>
      <c r="O147" s="15" t="inlineStr">
        <is>
          <t>—</t>
        </is>
      </c>
      <c r="P147" s="15" t="n"/>
      <c r="Q147" s="36" t="inlineStr">
        <is>
          <t>https://drive.google.com/drive/folders/1q72HGRzyk8mJDwU2hOVnUESx47SVDS0x</t>
        </is>
      </c>
      <c r="R147" s="15" t="n">
        <v>45</v>
      </c>
    </row>
    <row r="148">
      <c r="A148" s="15" t="inlineStr">
        <is>
          <t>Kanwil BPN Provinsi Gorontalo</t>
        </is>
      </c>
      <c r="B148" s="15" t="inlineStr">
        <is>
          <t>PENGUNGKIT</t>
        </is>
      </c>
      <c r="C148" s="15" t="inlineStr">
        <is>
          <t>3</t>
        </is>
      </c>
      <c r="D148" s="15" t="inlineStr">
        <is>
          <t>PENATAAN SISTEM MANAJEMEN SDM APARATUR</t>
        </is>
      </c>
      <c r="E148" s="15" t="inlineStr">
        <is>
          <t>iii</t>
        </is>
      </c>
      <c r="F148" s="15" t="inlineStr">
        <is>
          <t>Pengembangan Pegawai Berbasis Kompetensi</t>
        </is>
      </c>
      <c r="G148" s="15" t="inlineStr">
        <is>
          <t>A.3.iii.c</t>
        </is>
      </c>
      <c r="H148" s="15" t="inlineStr">
        <is>
          <t>Tingkat kesenjangan kompetensi pegawai yang ada dengan standar kompetensi yang ditetapkan untuk masing-masing jabatan</t>
        </is>
      </c>
      <c r="I148" s="15" t="inlineStr">
        <is>
          <t>A</t>
        </is>
      </c>
      <c r="J148" s="15" t="n">
        <v>1</v>
      </c>
      <c r="K148" s="49" t="n"/>
      <c r="L148" s="15" t="n"/>
      <c r="M148" s="15" t="inlineStr">
        <is>
          <t>—</t>
        </is>
      </c>
      <c r="N148" s="15" t="inlineStr">
        <is>
          <t>—</t>
        </is>
      </c>
      <c r="O148" s="15" t="inlineStr">
        <is>
          <t>—</t>
        </is>
      </c>
      <c r="P148" s="15" t="n"/>
      <c r="Q148" s="36" t="inlineStr">
        <is>
          <t>https://drive.google.com/drive/folders/1rdkOY1lBRm8S--PZpAfWprwlqxtcxwI9</t>
        </is>
      </c>
      <c r="R148" s="15" t="n">
        <v>46</v>
      </c>
    </row>
    <row r="149">
      <c r="A149" s="15" t="inlineStr">
        <is>
          <t>Kanwil BPN Provinsi Gorontalo</t>
        </is>
      </c>
      <c r="B149" s="15" t="inlineStr">
        <is>
          <t>PENGUNGKIT</t>
        </is>
      </c>
      <c r="C149" s="15" t="inlineStr">
        <is>
          <t>3</t>
        </is>
      </c>
      <c r="D149" s="15" t="inlineStr">
        <is>
          <t>PENATAAN SISTEM MANAJEMEN SDM APARATUR</t>
        </is>
      </c>
      <c r="E149" s="15" t="inlineStr">
        <is>
          <t>iii</t>
        </is>
      </c>
      <c r="F149" s="15" t="inlineStr">
        <is>
          <t>Pengembangan Pegawai Berbasis Kompetensi</t>
        </is>
      </c>
      <c r="G149" s="15" t="inlineStr">
        <is>
          <t>A.3.iii.d</t>
        </is>
      </c>
      <c r="H149" s="15" t="inlineStr">
        <is>
          <t>Pegawai di Unit Kerja telah memperoleh kesempatan/hak untuk mengikuti diklat maupun pengembangan kompetensi lainnya</t>
        </is>
      </c>
      <c r="I149" s="15" t="inlineStr">
        <is>
          <t>A</t>
        </is>
      </c>
      <c r="J149" s="15" t="n">
        <v>1</v>
      </c>
      <c r="K149" s="49" t="n"/>
      <c r="L149" s="15" t="inlineStr">
        <is>
          <t xml:space="preserve"> </t>
        </is>
      </c>
      <c r="M149" s="15" t="inlineStr">
        <is>
          <t>—</t>
        </is>
      </c>
      <c r="N149" s="15" t="inlineStr">
        <is>
          <t>—</t>
        </is>
      </c>
      <c r="O149" s="15" t="inlineStr">
        <is>
          <t>—</t>
        </is>
      </c>
      <c r="P149" s="15" t="n"/>
      <c r="Q149" s="36" t="inlineStr">
        <is>
          <t>https://drive.google.com/drive/folders/1FioF2AMMwlFgh3d5BAZM-Fa8m7TEUd_4</t>
        </is>
      </c>
      <c r="R149" s="15" t="n">
        <v>47</v>
      </c>
    </row>
    <row r="150">
      <c r="A150" s="15" t="inlineStr">
        <is>
          <t>Kanwil BPN Provinsi Gorontalo</t>
        </is>
      </c>
      <c r="B150" s="15" t="inlineStr">
        <is>
          <t>PENGUNGKIT</t>
        </is>
      </c>
      <c r="C150" s="15" t="inlineStr">
        <is>
          <t>3</t>
        </is>
      </c>
      <c r="D150" s="15" t="inlineStr">
        <is>
          <t>PENATAAN SISTEM MANAJEMEN SDM APARATUR</t>
        </is>
      </c>
      <c r="E150" s="15" t="inlineStr">
        <is>
          <t>iii</t>
        </is>
      </c>
      <c r="F150" s="15" t="inlineStr">
        <is>
          <t>Pengembangan Pegawai Berbasis Kompetensi</t>
        </is>
      </c>
      <c r="G150" s="15" t="inlineStr">
        <is>
          <t>A.3.iii.e</t>
        </is>
      </c>
      <c r="H150" s="15" t="inlineStr">
        <is>
          <t>Dalam pelaksanaan pengembangan kompetensi, unit kerja melakukan upaya pengembangan kompetensi kepada pegawai (seperti pengikutsertaan pada lembaga pelatihan, in-house training, coaching, atau mentoring)</t>
        </is>
      </c>
      <c r="I150" s="15" t="inlineStr">
        <is>
          <t>A</t>
        </is>
      </c>
      <c r="J150" s="15" t="n">
        <v>1</v>
      </c>
      <c r="K150" s="49" t="n"/>
      <c r="L150" s="15" t="n"/>
      <c r="M150" s="15" t="inlineStr">
        <is>
          <t>—</t>
        </is>
      </c>
      <c r="N150" s="15" t="inlineStr">
        <is>
          <t>—</t>
        </is>
      </c>
      <c r="O150" s="15" t="inlineStr">
        <is>
          <t>—</t>
        </is>
      </c>
      <c r="P150" s="15" t="n"/>
      <c r="Q150" s="36" t="inlineStr">
        <is>
          <t>https://drive.google.com/drive/folders/1Bm4Mh1WBsrd0r0yCFbz2iGbj_k_vO1t_</t>
        </is>
      </c>
      <c r="R150" s="15" t="n">
        <v>48</v>
      </c>
    </row>
    <row r="151">
      <c r="A151" s="15" t="inlineStr">
        <is>
          <t>Kanwil BPN Provinsi Gorontalo</t>
        </is>
      </c>
      <c r="B151" s="15" t="inlineStr">
        <is>
          <t>PENGUNGKIT</t>
        </is>
      </c>
      <c r="C151" s="15" t="inlineStr">
        <is>
          <t>3</t>
        </is>
      </c>
      <c r="D151" s="15" t="inlineStr">
        <is>
          <t>PENATAAN SISTEM MANAJEMEN SDM APARATUR</t>
        </is>
      </c>
      <c r="E151" s="15" t="inlineStr">
        <is>
          <t>iii</t>
        </is>
      </c>
      <c r="F151" s="15" t="inlineStr">
        <is>
          <t>Pengembangan Pegawai Berbasis Kompetensi</t>
        </is>
      </c>
      <c r="G151" s="15" t="inlineStr">
        <is>
          <t>A.3.iii.f</t>
        </is>
      </c>
      <c r="H151" s="15" t="inlineStr">
        <is>
          <t>Telah dilakukan monitoring dan evaluasi terhadap hasil pengembangan kompetensi dalam kaitannya dengan perbaikan kinerja</t>
        </is>
      </c>
      <c r="I151" s="15" t="inlineStr">
        <is>
          <t>A</t>
        </is>
      </c>
      <c r="J151" s="15" t="n">
        <v>1</v>
      </c>
      <c r="K151" s="49" t="n"/>
      <c r="L151" s="15" t="n"/>
      <c r="M151" s="15" t="inlineStr">
        <is>
          <t>—</t>
        </is>
      </c>
      <c r="N151" s="15" t="inlineStr">
        <is>
          <t>—</t>
        </is>
      </c>
      <c r="O151" s="15" t="inlineStr">
        <is>
          <t>—</t>
        </is>
      </c>
      <c r="P151" s="15" t="n"/>
      <c r="Q151" s="36" t="inlineStr">
        <is>
          <t>https://drive.google.com/drive/folders/1STmXi5MF2atbgCzoCbwTx11kVJPQD4QD</t>
        </is>
      </c>
      <c r="R151" s="15" t="n">
        <v>49</v>
      </c>
    </row>
    <row r="152">
      <c r="A152" s="15" t="inlineStr">
        <is>
          <t>Kanwil BPN Provinsi Gorontalo</t>
        </is>
      </c>
      <c r="B152" s="15" t="inlineStr">
        <is>
          <t>PENGUNGKIT</t>
        </is>
      </c>
      <c r="C152" s="15" t="inlineStr">
        <is>
          <t>3</t>
        </is>
      </c>
      <c r="D152" s="15" t="inlineStr">
        <is>
          <t>PENATAAN SISTEM MANAJEMEN SDM APARATUR</t>
        </is>
      </c>
      <c r="E152" s="15" t="inlineStr">
        <is>
          <t>iv</t>
        </is>
      </c>
      <c r="F152" s="15" t="inlineStr">
        <is>
          <t>Penetapan Kinerja Individu</t>
        </is>
      </c>
      <c r="G152" s="15" t="inlineStr">
        <is>
          <t>A.3.iv.a</t>
        </is>
      </c>
      <c r="H152" s="15" t="inlineStr">
        <is>
          <t>Terdapat penetapan kinerja individu yang terkait dengan perjanjian kinerja organisasi</t>
        </is>
      </c>
      <c r="I152" s="15" t="inlineStr">
        <is>
          <t>A</t>
        </is>
      </c>
      <c r="J152" s="15" t="n">
        <v>1</v>
      </c>
      <c r="K152" s="49" t="n"/>
      <c r="L152" s="15" t="n"/>
      <c r="M152" s="15" t="inlineStr">
        <is>
          <t>—</t>
        </is>
      </c>
      <c r="N152" s="15" t="inlineStr">
        <is>
          <t>—</t>
        </is>
      </c>
      <c r="O152" s="15" t="inlineStr">
        <is>
          <t>—</t>
        </is>
      </c>
      <c r="P152" s="15" t="n"/>
      <c r="Q152" s="36" t="inlineStr">
        <is>
          <t>https://drive.google.com/drive/folders/1d9WaOBFoc3Y224GfVRVoZOVFMxQmCu--</t>
        </is>
      </c>
      <c r="R152" s="15" t="n">
        <v>51</v>
      </c>
    </row>
    <row r="153">
      <c r="A153" s="15" t="inlineStr">
        <is>
          <t>Kanwil BPN Provinsi Gorontalo</t>
        </is>
      </c>
      <c r="B153" s="15" t="inlineStr">
        <is>
          <t>PENGUNGKIT</t>
        </is>
      </c>
      <c r="C153" s="15" t="inlineStr">
        <is>
          <t>3</t>
        </is>
      </c>
      <c r="D153" s="15" t="inlineStr">
        <is>
          <t>PENATAAN SISTEM MANAJEMEN SDM APARATUR</t>
        </is>
      </c>
      <c r="E153" s="15" t="inlineStr">
        <is>
          <t>iv</t>
        </is>
      </c>
      <c r="F153" s="15" t="inlineStr">
        <is>
          <t>Penetapan Kinerja Individu</t>
        </is>
      </c>
      <c r="G153" s="15" t="inlineStr">
        <is>
          <t>A.3.iv.b</t>
        </is>
      </c>
      <c r="H153" s="15" t="inlineStr">
        <is>
          <t>Ukuran kinerja individu telah memiliki kesesuaian dengan indikator kinerja individu level diatasnya</t>
        </is>
      </c>
      <c r="I153" s="15" t="inlineStr">
        <is>
          <t>A</t>
        </is>
      </c>
      <c r="J153" s="15" t="n">
        <v>1</v>
      </c>
      <c r="K153" s="49" t="n"/>
      <c r="L153" s="15" t="n"/>
      <c r="M153" s="15" t="inlineStr">
        <is>
          <t>—</t>
        </is>
      </c>
      <c r="N153" s="15" t="inlineStr">
        <is>
          <t>—</t>
        </is>
      </c>
      <c r="O153" s="15" t="inlineStr">
        <is>
          <t>—</t>
        </is>
      </c>
      <c r="P153" s="15" t="n"/>
      <c r="Q153" s="36" t="inlineStr">
        <is>
          <t>https://drive.google.com/drive/folders/1yn_GfZd-t3spI4H1Wm49plv4qCMBU9dk</t>
        </is>
      </c>
      <c r="R153" s="15" t="n">
        <v>52</v>
      </c>
    </row>
    <row r="154">
      <c r="A154" s="15" t="inlineStr">
        <is>
          <t>Kanwil BPN Provinsi Gorontalo</t>
        </is>
      </c>
      <c r="B154" s="15" t="inlineStr">
        <is>
          <t>PENGUNGKIT</t>
        </is>
      </c>
      <c r="C154" s="15" t="inlineStr">
        <is>
          <t>3</t>
        </is>
      </c>
      <c r="D154" s="15" t="inlineStr">
        <is>
          <t>PENATAAN SISTEM MANAJEMEN SDM APARATUR</t>
        </is>
      </c>
      <c r="E154" s="15" t="inlineStr">
        <is>
          <t>iv</t>
        </is>
      </c>
      <c r="F154" s="15" t="inlineStr">
        <is>
          <t>Penetapan Kinerja Individu</t>
        </is>
      </c>
      <c r="G154" s="15" t="inlineStr">
        <is>
          <t>A.3.iv.c</t>
        </is>
      </c>
      <c r="H154" s="15" t="inlineStr">
        <is>
          <t>Pengukuran kinerja individu dilakukan secara periodik</t>
        </is>
      </c>
      <c r="I154" s="15" t="inlineStr">
        <is>
          <t>D</t>
        </is>
      </c>
      <c r="J154" s="15" t="n">
        <v>0.25</v>
      </c>
      <c r="K154" s="49" t="n"/>
      <c r="L154" s="15" t="n"/>
      <c r="M154" s="15" t="inlineStr">
        <is>
          <t>—</t>
        </is>
      </c>
      <c r="N154" s="15" t="inlineStr">
        <is>
          <t>—</t>
        </is>
      </c>
      <c r="O154" s="15" t="inlineStr">
        <is>
          <t>—</t>
        </is>
      </c>
      <c r="P154" s="15" t="n"/>
      <c r="Q154" s="36" t="inlineStr">
        <is>
          <t>https://drive.google.com/drive/folders/1L6xuZ0lrSA1yGPmLrjjzpyrN8CK05mDz</t>
        </is>
      </c>
      <c r="R154" s="15" t="n">
        <v>53</v>
      </c>
    </row>
    <row r="155">
      <c r="A155" s="15" t="inlineStr">
        <is>
          <t>Kanwil BPN Provinsi Gorontalo</t>
        </is>
      </c>
      <c r="B155" s="15" t="inlineStr">
        <is>
          <t>PENGUNGKIT</t>
        </is>
      </c>
      <c r="C155" s="15" t="inlineStr">
        <is>
          <t>3</t>
        </is>
      </c>
      <c r="D155" s="15" t="inlineStr">
        <is>
          <t>PENATAAN SISTEM MANAJEMEN SDM APARATUR</t>
        </is>
      </c>
      <c r="E155" s="15" t="inlineStr">
        <is>
          <t>iv</t>
        </is>
      </c>
      <c r="F155" s="15" t="inlineStr">
        <is>
          <t>Penetapan Kinerja Individu</t>
        </is>
      </c>
      <c r="G155" s="15" t="inlineStr">
        <is>
          <t>A.3.iv.d</t>
        </is>
      </c>
      <c r="H155" s="15" t="inlineStr">
        <is>
          <t>Hasil penilaian kinerja individu telah dijadikan dasar untuk pemberian reward</t>
        </is>
      </c>
      <c r="I155" s="15" t="inlineStr">
        <is>
          <t>Ya</t>
        </is>
      </c>
      <c r="J155" s="15" t="n">
        <v>1</v>
      </c>
      <c r="K155" s="49" t="n"/>
      <c r="L155" s="15" t="n"/>
      <c r="M155" s="15" t="inlineStr">
        <is>
          <t>—</t>
        </is>
      </c>
      <c r="N155" s="15" t="inlineStr">
        <is>
          <t>—</t>
        </is>
      </c>
      <c r="O155" s="15" t="inlineStr">
        <is>
          <t>—</t>
        </is>
      </c>
      <c r="P155" s="15" t="n"/>
      <c r="Q155" s="36" t="inlineStr">
        <is>
          <t>https://drive.google.com/drive/folders/1WnT11WU9IRuLck24RWNRCusfQ42vWxNn</t>
        </is>
      </c>
      <c r="R155" s="15" t="n">
        <v>54</v>
      </c>
    </row>
    <row r="156">
      <c r="A156" s="15" t="inlineStr">
        <is>
          <t>Kanwil BPN Provinsi Gorontalo</t>
        </is>
      </c>
      <c r="B156" s="15" t="inlineStr">
        <is>
          <t>PENGUNGKIT</t>
        </is>
      </c>
      <c r="C156" s="15" t="inlineStr">
        <is>
          <t>3</t>
        </is>
      </c>
      <c r="D156" s="15" t="inlineStr">
        <is>
          <t>PENATAAN SISTEM MANAJEMEN SDM APARATUR</t>
        </is>
      </c>
      <c r="E156" s="15" t="inlineStr">
        <is>
          <t>v</t>
        </is>
      </c>
      <c r="F156" s="15" t="inlineStr">
        <is>
          <t>Penegakan Aturan Disiplin/Kode Etik/Kode Perilaku Pegawai</t>
        </is>
      </c>
      <c r="G156" s="15" t="inlineStr">
        <is>
          <t>A.3.v.a</t>
        </is>
      </c>
      <c r="H156" s="15" t="inlineStr">
        <is>
          <t>Aturan disiplin/kode etik/kode perilaku telah dilaksanakan/diimplementasikan</t>
        </is>
      </c>
      <c r="I156" s="15" t="inlineStr">
        <is>
          <t>B</t>
        </is>
      </c>
      <c r="J156" s="15" t="n">
        <v>0.67</v>
      </c>
      <c r="K156" s="49" t="n"/>
      <c r="L156" s="15" t="n"/>
      <c r="M156" s="15" t="inlineStr">
        <is>
          <t>—</t>
        </is>
      </c>
      <c r="N156" s="15" t="inlineStr">
        <is>
          <t>—</t>
        </is>
      </c>
      <c r="O156" s="15" t="inlineStr">
        <is>
          <t>—</t>
        </is>
      </c>
      <c r="P156" s="15" t="n"/>
      <c r="Q156" s="36" t="inlineStr">
        <is>
          <t>https://drive.google.com/drive/folders/1DA75h3P7cBYaEAtIOj6xzGDIU60tPCJp</t>
        </is>
      </c>
      <c r="R156" s="15" t="n">
        <v>56</v>
      </c>
    </row>
    <row r="157">
      <c r="A157" s="15" t="inlineStr">
        <is>
          <t>Kanwil BPN Provinsi Gorontalo</t>
        </is>
      </c>
      <c r="B157" s="15" t="inlineStr">
        <is>
          <t>PENGUNGKIT</t>
        </is>
      </c>
      <c r="C157" s="15" t="inlineStr">
        <is>
          <t>3</t>
        </is>
      </c>
      <c r="D157" s="15" t="inlineStr">
        <is>
          <t>PENATAAN SISTEM MANAJEMEN SDM APARATUR</t>
        </is>
      </c>
      <c r="E157" s="15" t="inlineStr">
        <is>
          <t>vi</t>
        </is>
      </c>
      <c r="F157" s="15" t="inlineStr">
        <is>
          <t>Sistem Informasi Kepegawaian</t>
        </is>
      </c>
      <c r="G157" s="15" t="inlineStr">
        <is>
          <t>A.3.vi.a</t>
        </is>
      </c>
      <c r="H157" s="15" t="inlineStr">
        <is>
          <t>Data informasi kepegawaian unit kerja telah dimutakhirkan secara berkala</t>
        </is>
      </c>
      <c r="I157" s="15" t="inlineStr">
        <is>
          <t>B</t>
        </is>
      </c>
      <c r="J157" s="15" t="n">
        <v>0.5</v>
      </c>
      <c r="K157" s="49" t="n"/>
      <c r="L157" s="15" t="n"/>
      <c r="M157" s="15" t="inlineStr">
        <is>
          <t>—</t>
        </is>
      </c>
      <c r="N157" s="15" t="inlineStr">
        <is>
          <t>—</t>
        </is>
      </c>
      <c r="O157" s="15" t="inlineStr">
        <is>
          <t>—</t>
        </is>
      </c>
      <c r="P157" s="15" t="n"/>
      <c r="Q157" s="36" t="inlineStr">
        <is>
          <t>https://drive.google.com/drive/folders/1Rq6Id2PNGGST3GoykDjfJnCEdr8S3pV0</t>
        </is>
      </c>
      <c r="R157" s="15" t="n">
        <v>58</v>
      </c>
    </row>
    <row r="158">
      <c r="A158" s="15" t="inlineStr">
        <is>
          <t>Kanwil BPN Provinsi Gorontalo</t>
        </is>
      </c>
      <c r="B158" s="15" t="inlineStr">
        <is>
          <t>PENGUNGKIT</t>
        </is>
      </c>
      <c r="C158" s="15" t="inlineStr">
        <is>
          <t>4</t>
        </is>
      </c>
      <c r="D158" s="15" t="inlineStr">
        <is>
          <t>PENGUATAN AKUNTABILITAS</t>
        </is>
      </c>
      <c r="E158" s="15" t="inlineStr">
        <is>
          <t>i</t>
        </is>
      </c>
      <c r="F158" s="15" t="inlineStr">
        <is>
          <t>Keterlibatan Kepala</t>
        </is>
      </c>
      <c r="G158" s="15" t="inlineStr">
        <is>
          <t>A.4.i.a</t>
        </is>
      </c>
      <c r="H158" s="15" t="inlineStr">
        <is>
          <t>Unit kerja telah melibatkan Kepala secara langsung pada saat penyusunan perencanaan</t>
        </is>
      </c>
      <c r="I158" s="15" t="inlineStr">
        <is>
          <t>A</t>
        </is>
      </c>
      <c r="J158" s="15" t="n">
        <v>1</v>
      </c>
      <c r="K158" s="49" t="n"/>
      <c r="L158" s="15" t="n"/>
      <c r="M158" s="15" t="inlineStr">
        <is>
          <t>—</t>
        </is>
      </c>
      <c r="N158" s="15" t="inlineStr">
        <is>
          <t>—</t>
        </is>
      </c>
      <c r="O158" s="15" t="inlineStr">
        <is>
          <t>—</t>
        </is>
      </c>
      <c r="P158" s="15" t="n"/>
      <c r="Q158" s="36" t="inlineStr">
        <is>
          <t>https://drive.google.com/drive/folders/1g9kUtAb33PJbRkxwC0FyPK2X5XZ0M72h</t>
        </is>
      </c>
      <c r="R158" s="15" t="n">
        <v>61</v>
      </c>
    </row>
    <row r="159">
      <c r="A159" s="15" t="inlineStr">
        <is>
          <t>Kanwil BPN Provinsi Gorontalo</t>
        </is>
      </c>
      <c r="B159" s="15" t="inlineStr">
        <is>
          <t>PENGUNGKIT</t>
        </is>
      </c>
      <c r="C159" s="15" t="inlineStr">
        <is>
          <t>4</t>
        </is>
      </c>
      <c r="D159" s="15" t="inlineStr">
        <is>
          <t>PENGUATAN AKUNTABILITAS</t>
        </is>
      </c>
      <c r="E159" s="15" t="inlineStr">
        <is>
          <t>i</t>
        </is>
      </c>
      <c r="F159" s="15" t="inlineStr">
        <is>
          <t>Keterlibatan Kepala</t>
        </is>
      </c>
      <c r="G159" s="15" t="inlineStr">
        <is>
          <t>A.4.i.b</t>
        </is>
      </c>
      <c r="H159" s="15" t="inlineStr">
        <is>
          <t>Unit kerja telah melibatkan secara langsung Kepala saat penyusunan penetapan kinerja</t>
        </is>
      </c>
      <c r="I159" s="15" t="inlineStr">
        <is>
          <t>B</t>
        </is>
      </c>
      <c r="J159" s="15" t="n">
        <v>0.5</v>
      </c>
      <c r="K159" s="49" t="n"/>
      <c r="L159" s="15" t="n"/>
      <c r="M159" s="15" t="inlineStr">
        <is>
          <t>—</t>
        </is>
      </c>
      <c r="N159" s="15" t="inlineStr">
        <is>
          <t>—</t>
        </is>
      </c>
      <c r="O159" s="15" t="inlineStr">
        <is>
          <t>—</t>
        </is>
      </c>
      <c r="P159" s="15" t="n"/>
      <c r="Q159" s="36" t="inlineStr">
        <is>
          <t>https://drive.google.com/drive/folders/1oky8FVvSpLw6Pmx6ggFoHaLWbdWLX1_h</t>
        </is>
      </c>
      <c r="R159" s="15" t="n">
        <v>62</v>
      </c>
    </row>
    <row r="160">
      <c r="A160" s="15" t="inlineStr">
        <is>
          <t>Kanwil BPN Provinsi Gorontalo</t>
        </is>
      </c>
      <c r="B160" s="15" t="inlineStr">
        <is>
          <t>PENGUNGKIT</t>
        </is>
      </c>
      <c r="C160" s="15" t="inlineStr">
        <is>
          <t>4</t>
        </is>
      </c>
      <c r="D160" s="15" t="inlineStr">
        <is>
          <t>PENGUATAN AKUNTABILITAS</t>
        </is>
      </c>
      <c r="E160" s="15" t="inlineStr">
        <is>
          <t>i</t>
        </is>
      </c>
      <c r="F160" s="15" t="inlineStr">
        <is>
          <t>Keterlibatan Kepala</t>
        </is>
      </c>
      <c r="G160" s="15" t="inlineStr">
        <is>
          <t>A.4.i.c</t>
        </is>
      </c>
      <c r="H160" s="15" t="inlineStr">
        <is>
          <t>Kepala memantau pencapaian kinerja secara berkala</t>
        </is>
      </c>
      <c r="I160" s="15" t="inlineStr">
        <is>
          <t>B</t>
        </is>
      </c>
      <c r="J160" s="15" t="n">
        <v>0.67</v>
      </c>
      <c r="K160" s="49" t="n"/>
      <c r="L160" s="15" t="n"/>
      <c r="M160" s="15" t="inlineStr">
        <is>
          <t>—</t>
        </is>
      </c>
      <c r="N160" s="15" t="inlineStr">
        <is>
          <t>—</t>
        </is>
      </c>
      <c r="O160" s="15" t="inlineStr">
        <is>
          <t>—</t>
        </is>
      </c>
      <c r="P160" s="15" t="n"/>
      <c r="Q160" s="36" t="inlineStr">
        <is>
          <t>https://drive.google.com/drive/folders/1DBM6jQMX_Vm3fkZGEowXLfV3BNPReTY_</t>
        </is>
      </c>
      <c r="R160" s="15" t="n">
        <v>63</v>
      </c>
    </row>
    <row r="161">
      <c r="A161" s="15" t="inlineStr">
        <is>
          <t>Kanwil BPN Provinsi Gorontalo</t>
        </is>
      </c>
      <c r="B161" s="15" t="inlineStr">
        <is>
          <t>PENGUNGKIT</t>
        </is>
      </c>
      <c r="C161" s="15" t="inlineStr">
        <is>
          <t>4</t>
        </is>
      </c>
      <c r="D161" s="15" t="inlineStr">
        <is>
          <t>PENGUATAN AKUNTABILITAS</t>
        </is>
      </c>
      <c r="E161" s="15" t="inlineStr">
        <is>
          <t>ii</t>
        </is>
      </c>
      <c r="F161" s="15" t="inlineStr">
        <is>
          <t>Pengelolaan Akuntabilitas Kinerja</t>
        </is>
      </c>
      <c r="G161" s="15" t="inlineStr">
        <is>
          <t>A.4.ii.a</t>
        </is>
      </c>
      <c r="H161" s="15" t="inlineStr">
        <is>
          <t>Dokumen perencanaan kinerja sudah ada</t>
        </is>
      </c>
      <c r="I161" s="15" t="inlineStr">
        <is>
          <t>Ya</t>
        </is>
      </c>
      <c r="J161" s="15" t="n">
        <v>1</v>
      </c>
      <c r="K161" s="49" t="n"/>
      <c r="L161" s="15" t="n"/>
      <c r="M161" s="15" t="inlineStr">
        <is>
          <t>—</t>
        </is>
      </c>
      <c r="N161" s="15" t="inlineStr">
        <is>
          <t>—</t>
        </is>
      </c>
      <c r="O161" s="15" t="inlineStr">
        <is>
          <t>—</t>
        </is>
      </c>
      <c r="P161" s="15" t="n"/>
      <c r="Q161" s="36" t="inlineStr">
        <is>
          <t>https://drive.google.com/drive/folders/1cwet-7ubZpJYCnrnoPoMdt5cQ6768aFH</t>
        </is>
      </c>
      <c r="R161" s="15" t="n">
        <v>65</v>
      </c>
    </row>
    <row r="162">
      <c r="A162" s="15" t="inlineStr">
        <is>
          <t>Kanwil BPN Provinsi Gorontalo</t>
        </is>
      </c>
      <c r="B162" s="15" t="inlineStr">
        <is>
          <t>PENGUNGKIT</t>
        </is>
      </c>
      <c r="C162" s="15" t="inlineStr">
        <is>
          <t>4</t>
        </is>
      </c>
      <c r="D162" s="15" t="inlineStr">
        <is>
          <t>PENGUATAN AKUNTABILITAS</t>
        </is>
      </c>
      <c r="E162" s="15" t="inlineStr">
        <is>
          <t>ii</t>
        </is>
      </c>
      <c r="F162" s="15" t="inlineStr">
        <is>
          <t>Pengelolaan Akuntabilitas Kinerja</t>
        </is>
      </c>
      <c r="G162" s="15" t="inlineStr">
        <is>
          <t>A.4.ii.b</t>
        </is>
      </c>
      <c r="H162" s="15" t="inlineStr">
        <is>
          <t>Perencanaan kinerja telah berorientasi hasil</t>
        </is>
      </c>
      <c r="I162" s="15" t="inlineStr">
        <is>
          <t>Ya</t>
        </is>
      </c>
      <c r="J162" s="15" t="n">
        <v>1</v>
      </c>
      <c r="K162" s="49" t="n"/>
      <c r="L162" s="15" t="n"/>
      <c r="M162" s="15" t="inlineStr">
        <is>
          <t>—</t>
        </is>
      </c>
      <c r="N162" s="15" t="inlineStr">
        <is>
          <t>—</t>
        </is>
      </c>
      <c r="O162" s="15" t="inlineStr">
        <is>
          <t>—</t>
        </is>
      </c>
      <c r="P162" s="15" t="n"/>
      <c r="Q162" s="36" t="inlineStr">
        <is>
          <t>https://drive.google.com/drive/folders/1AdAEqeTET4tY0N7nEAjczy6H6wQC4KiB</t>
        </is>
      </c>
      <c r="R162" s="15" t="n">
        <v>66</v>
      </c>
    </row>
    <row r="163">
      <c r="A163" s="15" t="inlineStr">
        <is>
          <t>Kanwil BPN Provinsi Gorontalo</t>
        </is>
      </c>
      <c r="B163" s="15" t="inlineStr">
        <is>
          <t>PENGUNGKIT</t>
        </is>
      </c>
      <c r="C163" s="15" t="inlineStr">
        <is>
          <t>4</t>
        </is>
      </c>
      <c r="D163" s="15" t="inlineStr">
        <is>
          <t>PENGUATAN AKUNTABILITAS</t>
        </is>
      </c>
      <c r="E163" s="15" t="inlineStr">
        <is>
          <t>ii</t>
        </is>
      </c>
      <c r="F163" s="15" t="inlineStr">
        <is>
          <t>Pengelolaan Akuntabilitas Kinerja</t>
        </is>
      </c>
      <c r="G163" s="15" t="inlineStr">
        <is>
          <t>A.4.ii.c</t>
        </is>
      </c>
      <c r="H163" s="15" t="inlineStr">
        <is>
          <t>Terdapat penetapan Indikator Kinerja Utama (IKU)</t>
        </is>
      </c>
      <c r="I163" s="15" t="inlineStr">
        <is>
          <t>Ya</t>
        </is>
      </c>
      <c r="J163" s="15" t="n">
        <v>1</v>
      </c>
      <c r="K163" s="49" t="n"/>
      <c r="L163" s="15" t="n"/>
      <c r="M163" s="15" t="inlineStr">
        <is>
          <t>—</t>
        </is>
      </c>
      <c r="N163" s="15" t="inlineStr">
        <is>
          <t>—</t>
        </is>
      </c>
      <c r="O163" s="15" t="inlineStr">
        <is>
          <t>—</t>
        </is>
      </c>
      <c r="P163" s="15" t="n"/>
      <c r="Q163" s="36" t="inlineStr">
        <is>
          <t>https://drive.google.com/drive/folders/14Llo8lAPIlRXmlHX4LmBgi5YYe3yz7-g</t>
        </is>
      </c>
      <c r="R163" s="15" t="n">
        <v>67</v>
      </c>
    </row>
    <row r="164">
      <c r="A164" s="15" t="inlineStr">
        <is>
          <t>Kanwil BPN Provinsi Gorontalo</t>
        </is>
      </c>
      <c r="B164" s="15" t="inlineStr">
        <is>
          <t>PENGUNGKIT</t>
        </is>
      </c>
      <c r="C164" s="15" t="inlineStr">
        <is>
          <t>4</t>
        </is>
      </c>
      <c r="D164" s="15" t="inlineStr">
        <is>
          <t>PENGUATAN AKUNTABILITAS</t>
        </is>
      </c>
      <c r="E164" s="15" t="inlineStr">
        <is>
          <t>ii</t>
        </is>
      </c>
      <c r="F164" s="15" t="inlineStr">
        <is>
          <t>Pengelolaan Akuntabilitas Kinerja</t>
        </is>
      </c>
      <c r="G164" s="15" t="inlineStr">
        <is>
          <t>A.4.ii.d</t>
        </is>
      </c>
      <c r="H164" s="15" t="inlineStr">
        <is>
          <t>Indikator kinerja telah telah memenuhi kriteria SMART</t>
        </is>
      </c>
      <c r="I164" s="15" t="inlineStr">
        <is>
          <t>A</t>
        </is>
      </c>
      <c r="J164" s="15" t="n">
        <v>1</v>
      </c>
      <c r="K164" s="49" t="n"/>
      <c r="L164" s="15" t="n"/>
      <c r="M164" s="15" t="inlineStr">
        <is>
          <t>—</t>
        </is>
      </c>
      <c r="N164" s="15" t="inlineStr">
        <is>
          <t>—</t>
        </is>
      </c>
      <c r="O164" s="15" t="inlineStr">
        <is>
          <t>—</t>
        </is>
      </c>
      <c r="P164" s="15" t="n"/>
      <c r="Q164" s="36" t="inlineStr">
        <is>
          <t>https://drive.google.com/drive/folders/1-BVuQc6UGLiuXg3CwS1RdtzM3mgPXW1x</t>
        </is>
      </c>
      <c r="R164" s="15" t="n">
        <v>68</v>
      </c>
    </row>
    <row r="165">
      <c r="A165" s="15" t="inlineStr">
        <is>
          <t>Kanwil BPN Provinsi Gorontalo</t>
        </is>
      </c>
      <c r="B165" s="15" t="inlineStr">
        <is>
          <t>PENGUNGKIT</t>
        </is>
      </c>
      <c r="C165" s="15" t="inlineStr">
        <is>
          <t>4</t>
        </is>
      </c>
      <c r="D165" s="15" t="inlineStr">
        <is>
          <t>PENGUATAN AKUNTABILITAS</t>
        </is>
      </c>
      <c r="E165" s="15" t="inlineStr">
        <is>
          <t>ii</t>
        </is>
      </c>
      <c r="F165" s="15" t="inlineStr">
        <is>
          <t>Pengelolaan Akuntabilitas Kinerja</t>
        </is>
      </c>
      <c r="G165" s="15" t="inlineStr">
        <is>
          <t>A.4.ii.e</t>
        </is>
      </c>
      <c r="H165" s="15" t="inlineStr">
        <is>
          <t>Laporan kinerja telah disusun tepat waktu</t>
        </is>
      </c>
      <c r="I165" s="15" t="inlineStr">
        <is>
          <t>Ya</t>
        </is>
      </c>
      <c r="J165" s="15" t="n">
        <v>1</v>
      </c>
      <c r="K165" s="49" t="n"/>
      <c r="L165" s="15" t="n"/>
      <c r="M165" s="15" t="inlineStr">
        <is>
          <t>—</t>
        </is>
      </c>
      <c r="N165" s="15" t="inlineStr">
        <is>
          <t>—</t>
        </is>
      </c>
      <c r="O165" s="15" t="inlineStr">
        <is>
          <t>—</t>
        </is>
      </c>
      <c r="P165" s="15" t="n"/>
      <c r="Q165" s="36" t="inlineStr">
        <is>
          <t>https://drive.google.com/drive/folders/1w-6oa3Y7967CvhKDwbZF3O7EHxpu9hAQ</t>
        </is>
      </c>
      <c r="R165" s="15" t="n">
        <v>69</v>
      </c>
    </row>
    <row r="166">
      <c r="A166" s="15" t="inlineStr">
        <is>
          <t>Kanwil BPN Provinsi Gorontalo</t>
        </is>
      </c>
      <c r="B166" s="15" t="inlineStr">
        <is>
          <t>PENGUNGKIT</t>
        </is>
      </c>
      <c r="C166" s="15" t="inlineStr">
        <is>
          <t>4</t>
        </is>
      </c>
      <c r="D166" s="15" t="inlineStr">
        <is>
          <t>PENGUATAN AKUNTABILITAS</t>
        </is>
      </c>
      <c r="E166" s="15" t="inlineStr">
        <is>
          <t>ii</t>
        </is>
      </c>
      <c r="F166" s="15" t="inlineStr">
        <is>
          <t>Pengelolaan Akuntabilitas Kinerja</t>
        </is>
      </c>
      <c r="G166" s="15" t="inlineStr">
        <is>
          <t>A.4.ii.f</t>
        </is>
      </c>
      <c r="H166" s="15" t="inlineStr">
        <is>
          <t>Laporan kinerja telah memberikan informasi tentang kinerja</t>
        </is>
      </c>
      <c r="I166" s="15" t="inlineStr">
        <is>
          <t>A</t>
        </is>
      </c>
      <c r="J166" s="15" t="n">
        <v>1</v>
      </c>
      <c r="K166" s="49" t="n"/>
      <c r="L166" s="15" t="n"/>
      <c r="M166" s="15" t="inlineStr">
        <is>
          <t>—</t>
        </is>
      </c>
      <c r="N166" s="15" t="inlineStr">
        <is>
          <t>—</t>
        </is>
      </c>
      <c r="O166" s="15" t="inlineStr">
        <is>
          <t>—</t>
        </is>
      </c>
      <c r="P166" s="15" t="n"/>
      <c r="Q166" s="36" t="inlineStr">
        <is>
          <t>https://drive.google.com/drive/folders/1E5xN8cjUIJ9E-awF8sYUQhQXmCi9HTD8</t>
        </is>
      </c>
      <c r="R166" s="15" t="n">
        <v>70</v>
      </c>
    </row>
    <row r="167">
      <c r="A167" s="15" t="inlineStr">
        <is>
          <t>Kanwil BPN Provinsi Gorontalo</t>
        </is>
      </c>
      <c r="B167" s="15" t="inlineStr">
        <is>
          <t>PENGUNGKIT</t>
        </is>
      </c>
      <c r="C167" s="15" t="inlineStr">
        <is>
          <t>4</t>
        </is>
      </c>
      <c r="D167" s="15" t="inlineStr">
        <is>
          <t>PENGUATAN AKUNTABILITAS</t>
        </is>
      </c>
      <c r="E167" s="15" t="inlineStr">
        <is>
          <t>ii</t>
        </is>
      </c>
      <c r="F167" s="15" t="inlineStr">
        <is>
          <t>Pengelolaan Akuntabilitas Kinerja</t>
        </is>
      </c>
      <c r="G167" s="15" t="inlineStr">
        <is>
          <t>A.4.ii.g</t>
        </is>
      </c>
      <c r="H167" s="15" t="inlineStr">
        <is>
          <t>Terdapat sistem informasi/mekanisme informasi kinerja</t>
        </is>
      </c>
      <c r="I167" s="15" t="inlineStr">
        <is>
          <t>Ya</t>
        </is>
      </c>
      <c r="J167" s="15" t="n">
        <v>1</v>
      </c>
      <c r="K167" s="49" t="n"/>
      <c r="L167" s="15" t="n"/>
      <c r="M167" s="15" t="inlineStr">
        <is>
          <t>—</t>
        </is>
      </c>
      <c r="N167" s="15" t="inlineStr">
        <is>
          <t>—</t>
        </is>
      </c>
      <c r="O167" s="15" t="inlineStr">
        <is>
          <t>—</t>
        </is>
      </c>
      <c r="P167" s="15" t="n"/>
      <c r="Q167" s="36" t="inlineStr">
        <is>
          <t>https://drive.google.com/drive/folders/1brY-aCtUYJb--yqjDQ1Xx4oT6pDS8fxH</t>
        </is>
      </c>
      <c r="R167" s="15" t="n">
        <v>71</v>
      </c>
    </row>
    <row r="168">
      <c r="A168" s="15" t="inlineStr">
        <is>
          <t>Kanwil BPN Provinsi Gorontalo</t>
        </is>
      </c>
      <c r="B168" s="15" t="inlineStr">
        <is>
          <t>PENGUNGKIT</t>
        </is>
      </c>
      <c r="C168" s="15" t="inlineStr">
        <is>
          <t>4</t>
        </is>
      </c>
      <c r="D168" s="15" t="inlineStr">
        <is>
          <t>PENGUATAN AKUNTABILITAS</t>
        </is>
      </c>
      <c r="E168" s="15" t="inlineStr">
        <is>
          <t>ii</t>
        </is>
      </c>
      <c r="F168" s="15" t="inlineStr">
        <is>
          <t>Pengelolaan Akuntabilitas Kinerja</t>
        </is>
      </c>
      <c r="G168" s="15" t="inlineStr">
        <is>
          <t>A.4.ii.h</t>
        </is>
      </c>
      <c r="H168" s="15" t="inlineStr">
        <is>
          <t>Unit kerja telah berupaya meningkatkan kapasitas SDM yang menangangi akuntabilitas kinerja</t>
        </is>
      </c>
      <c r="I168" s="15" t="inlineStr">
        <is>
          <t>A</t>
        </is>
      </c>
      <c r="J168" s="15" t="n">
        <v>1</v>
      </c>
      <c r="K168" s="49" t="n"/>
      <c r="L168" s="15" t="n"/>
      <c r="M168" s="15" t="inlineStr">
        <is>
          <t>—</t>
        </is>
      </c>
      <c r="N168" s="15" t="inlineStr">
        <is>
          <t>—</t>
        </is>
      </c>
      <c r="O168" s="15" t="inlineStr">
        <is>
          <t>—</t>
        </is>
      </c>
      <c r="P168" s="15" t="n"/>
      <c r="Q168" s="36" t="inlineStr">
        <is>
          <t>https://drive.google.com/drive/folders/1JQNIZsLYA94nVfPU9URcESGS02_w_0pl</t>
        </is>
      </c>
      <c r="R168" s="15" t="n">
        <v>72</v>
      </c>
    </row>
    <row r="169">
      <c r="A169" s="15" t="inlineStr">
        <is>
          <t>Kanwil BPN Provinsi Gorontalo</t>
        </is>
      </c>
      <c r="B169" s="15" t="inlineStr">
        <is>
          <t>PENGUNGKIT</t>
        </is>
      </c>
      <c r="C169" s="15" t="inlineStr">
        <is>
          <t>5</t>
        </is>
      </c>
      <c r="D169"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69" s="15" t="inlineStr">
        <is>
          <t>i</t>
        </is>
      </c>
      <c r="F169" s="15" t="inlineStr">
        <is>
          <t>Pengendalian Gratifikasi</t>
        </is>
      </c>
      <c r="G169" s="15" t="inlineStr">
        <is>
          <t>A.5.i.a</t>
        </is>
      </c>
      <c r="H169" s="15" t="inlineStr">
        <is>
          <t>Telah dilakukan public campaign tentang pengendalian gratifikasi</t>
        </is>
      </c>
      <c r="I169" s="15" t="inlineStr">
        <is>
          <t>A</t>
        </is>
      </c>
      <c r="J169" s="15" t="n">
        <v>1</v>
      </c>
      <c r="K169" s="49" t="n"/>
      <c r="L169" s="15" t="n"/>
      <c r="M169" s="15" t="inlineStr">
        <is>
          <t>—</t>
        </is>
      </c>
      <c r="N169" s="15" t="inlineStr">
        <is>
          <t>—</t>
        </is>
      </c>
      <c r="O169" s="15" t="inlineStr">
        <is>
          <t>—</t>
        </is>
      </c>
      <c r="P169" s="15" t="n"/>
      <c r="Q169" s="36" t="inlineStr">
        <is>
          <t>I.a</t>
        </is>
      </c>
      <c r="R169" s="15" t="n">
        <v>75</v>
      </c>
    </row>
    <row r="170">
      <c r="A170" s="15" t="inlineStr">
        <is>
          <t>Kanwil BPN Provinsi Gorontalo</t>
        </is>
      </c>
      <c r="B170" s="15" t="inlineStr">
        <is>
          <t>PENGUNGKIT</t>
        </is>
      </c>
      <c r="C170" s="15" t="inlineStr">
        <is>
          <t>5</t>
        </is>
      </c>
      <c r="D170"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0" s="15" t="inlineStr">
        <is>
          <t>i</t>
        </is>
      </c>
      <c r="F170" s="15" t="inlineStr">
        <is>
          <t>Pengendalian Gratifikasi</t>
        </is>
      </c>
      <c r="G170" s="15" t="inlineStr">
        <is>
          <t>A.5.i.b</t>
        </is>
      </c>
      <c r="H170" s="15" t="inlineStr">
        <is>
          <t>Pengendalian gratifikasi telah diimplementasikan</t>
        </is>
      </c>
      <c r="I170" s="15" t="inlineStr">
        <is>
          <t>A</t>
        </is>
      </c>
      <c r="J170" s="15" t="n">
        <v>1</v>
      </c>
      <c r="K170" s="49" t="n"/>
      <c r="L170" s="15" t="n"/>
      <c r="M170" s="15" t="inlineStr">
        <is>
          <t>—</t>
        </is>
      </c>
      <c r="N170" s="15" t="inlineStr">
        <is>
          <t>—</t>
        </is>
      </c>
      <c r="O170" s="15" t="inlineStr">
        <is>
          <t>—</t>
        </is>
      </c>
      <c r="P170" s="15" t="n"/>
      <c r="Q170" s="36" t="inlineStr">
        <is>
          <t>https://drive.google.com/drive/folders/1ReqvH6vofc1Fe5PdgLl8_MUaTXdo3efo?usp=drive_link</t>
        </is>
      </c>
      <c r="R170" s="15" t="n">
        <v>76</v>
      </c>
    </row>
    <row r="171">
      <c r="A171" s="15" t="inlineStr">
        <is>
          <t>Kanwil BPN Provinsi Gorontalo</t>
        </is>
      </c>
      <c r="B171" s="15" t="inlineStr">
        <is>
          <t>PENGUNGKIT</t>
        </is>
      </c>
      <c r="C171" s="15" t="inlineStr">
        <is>
          <t>5</t>
        </is>
      </c>
      <c r="D171"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1" s="15" t="inlineStr">
        <is>
          <t>ii</t>
        </is>
      </c>
      <c r="F171" s="15" t="inlineStr">
        <is>
          <t>Penerapan Sistem Pengendalian Intern Pemerintah (SPIP)</t>
        </is>
      </c>
      <c r="G171" s="15" t="inlineStr">
        <is>
          <t>A.5.ii.a</t>
        </is>
      </c>
      <c r="H171" s="15" t="inlineStr">
        <is>
          <t>Telah dibangun lingkungan pengendalian</t>
        </is>
      </c>
      <c r="I171" s="15" t="inlineStr">
        <is>
          <t>A</t>
        </is>
      </c>
      <c r="J171" s="15" t="n">
        <v>1</v>
      </c>
      <c r="K171" s="49" t="n"/>
      <c r="L171" s="15" t="n"/>
      <c r="M171" s="15" t="inlineStr">
        <is>
          <t>—</t>
        </is>
      </c>
      <c r="N171" s="15" t="inlineStr">
        <is>
          <t>—</t>
        </is>
      </c>
      <c r="O171" s="15" t="inlineStr">
        <is>
          <t>—</t>
        </is>
      </c>
      <c r="P171" s="15" t="n"/>
      <c r="Q171" s="36" t="inlineStr">
        <is>
          <t>https://drive.google.com/drive/folders/1NZYU6OvoZa0TBgPOZwGpE1Hx9SZXnjfL?usp=drive_link</t>
        </is>
      </c>
      <c r="R171" s="15" t="n">
        <v>78</v>
      </c>
    </row>
    <row r="172">
      <c r="A172" s="15" t="inlineStr">
        <is>
          <t>Kanwil BPN Provinsi Gorontalo</t>
        </is>
      </c>
      <c r="B172" s="15" t="inlineStr">
        <is>
          <t>PENGUNGKIT</t>
        </is>
      </c>
      <c r="C172" s="15" t="inlineStr">
        <is>
          <t>5</t>
        </is>
      </c>
      <c r="D172"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2" s="15" t="inlineStr">
        <is>
          <t>ii</t>
        </is>
      </c>
      <c r="F172" s="15" t="inlineStr">
        <is>
          <t>Penerapan Sistem Pengendalian Intern Pemerintah (SPIP)</t>
        </is>
      </c>
      <c r="G172" s="15" t="inlineStr">
        <is>
          <t>A.5.ii.b</t>
        </is>
      </c>
      <c r="H172" s="15" t="inlineStr">
        <is>
          <t>Telah dilakukan penilaian risiko atas pelaksanaan kebijakan</t>
        </is>
      </c>
      <c r="I172" s="15" t="inlineStr">
        <is>
          <t>A</t>
        </is>
      </c>
      <c r="J172" s="15" t="n">
        <v>1</v>
      </c>
      <c r="K172" s="49" t="n"/>
      <c r="L172" s="15" t="n"/>
      <c r="M172" s="15" t="inlineStr">
        <is>
          <t>—</t>
        </is>
      </c>
      <c r="N172" s="15" t="inlineStr">
        <is>
          <t>—</t>
        </is>
      </c>
      <c r="O172" s="15" t="inlineStr">
        <is>
          <t>—</t>
        </is>
      </c>
      <c r="P172" s="15" t="n"/>
      <c r="Q172" s="36" t="inlineStr">
        <is>
          <t>https://drive.google.com/drive/folders/1lc8MxUJLYOG9-jeSHxN9rswNEM89aXMp?usp=drive_link</t>
        </is>
      </c>
      <c r="R172" s="15" t="n">
        <v>79</v>
      </c>
    </row>
    <row r="173">
      <c r="A173" s="15" t="inlineStr">
        <is>
          <t>Kanwil BPN Provinsi Gorontalo</t>
        </is>
      </c>
      <c r="B173" s="15" t="inlineStr">
        <is>
          <t>PENGUNGKIT</t>
        </is>
      </c>
      <c r="C173" s="15" t="inlineStr">
        <is>
          <t>5</t>
        </is>
      </c>
      <c r="D173"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3" s="15" t="inlineStr">
        <is>
          <t>ii</t>
        </is>
      </c>
      <c r="F173" s="15" t="inlineStr">
        <is>
          <t>Penerapan Sistem Pengendalian Intern Pemerintah (SPIP)</t>
        </is>
      </c>
      <c r="G173" s="15" t="inlineStr">
        <is>
          <t>A.5.ii.c</t>
        </is>
      </c>
      <c r="H173" s="15" t="inlineStr">
        <is>
          <t>Telah dilakukan kegiatan pengendalian untuk meminimalisir risiko yang telah diidentifikasi</t>
        </is>
      </c>
      <c r="I173" s="15" t="inlineStr">
        <is>
          <t>A</t>
        </is>
      </c>
      <c r="J173" s="15" t="n">
        <v>1</v>
      </c>
      <c r="K173" s="49" t="n"/>
      <c r="L173" s="15" t="n"/>
      <c r="M173" s="15" t="inlineStr">
        <is>
          <t>—</t>
        </is>
      </c>
      <c r="N173" s="15" t="inlineStr">
        <is>
          <t>—</t>
        </is>
      </c>
      <c r="O173" s="15" t="inlineStr">
        <is>
          <t>—</t>
        </is>
      </c>
      <c r="P173" s="15" t="n"/>
      <c r="Q173" s="36" t="inlineStr">
        <is>
          <t>https://drive.google.com/drive/folders/1tWJy1b1OeHBW5_lLbYHA3n-xEsPREoEW?usp=drive_link</t>
        </is>
      </c>
      <c r="R173" s="15" t="n">
        <v>80</v>
      </c>
    </row>
    <row r="174">
      <c r="A174" s="15" t="inlineStr">
        <is>
          <t>Kanwil BPN Provinsi Gorontalo</t>
        </is>
      </c>
      <c r="B174" s="15" t="inlineStr">
        <is>
          <t>PENGUNGKIT</t>
        </is>
      </c>
      <c r="C174" s="15" t="inlineStr">
        <is>
          <t>5</t>
        </is>
      </c>
      <c r="D174"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4" s="15" t="inlineStr">
        <is>
          <t>ii</t>
        </is>
      </c>
      <c r="F174" s="15" t="inlineStr">
        <is>
          <t>Penerapan Sistem Pengendalian Intern Pemerintah (SPIP)</t>
        </is>
      </c>
      <c r="G174" s="15" t="inlineStr">
        <is>
          <t>A.5.ii.d</t>
        </is>
      </c>
      <c r="H174" s="15" t="inlineStr">
        <is>
          <t>SPI telah diinformasikan dan dikomunikasikan kepada seluruh pihak terkait</t>
        </is>
      </c>
      <c r="I174" s="15" t="inlineStr">
        <is>
          <t>A</t>
        </is>
      </c>
      <c r="J174" s="15" t="n">
        <v>1</v>
      </c>
      <c r="K174" s="49" t="n"/>
      <c r="L174" s="15" t="n"/>
      <c r="M174" s="15" t="inlineStr">
        <is>
          <t>—</t>
        </is>
      </c>
      <c r="N174" s="15" t="inlineStr">
        <is>
          <t>—</t>
        </is>
      </c>
      <c r="O174" s="15" t="inlineStr">
        <is>
          <t>—</t>
        </is>
      </c>
      <c r="P174" s="15" t="n"/>
      <c r="Q174" s="36" t="inlineStr">
        <is>
          <t>II.d</t>
        </is>
      </c>
      <c r="R174" s="15" t="n">
        <v>81</v>
      </c>
    </row>
    <row r="175">
      <c r="A175" s="15" t="inlineStr">
        <is>
          <t>Kanwil BPN Provinsi Gorontalo</t>
        </is>
      </c>
      <c r="B175" s="15" t="inlineStr">
        <is>
          <t>PENGUNGKIT</t>
        </is>
      </c>
      <c r="C175" s="15" t="inlineStr">
        <is>
          <t>5</t>
        </is>
      </c>
      <c r="D175"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5" s="15" t="inlineStr">
        <is>
          <t>iii</t>
        </is>
      </c>
      <c r="F175" s="15" t="inlineStr">
        <is>
          <t>Pengaduan Masyarakat</t>
        </is>
      </c>
      <c r="G175" s="15" t="inlineStr">
        <is>
          <t>A.5.iii.a</t>
        </is>
      </c>
      <c r="H175" s="15" t="inlineStr">
        <is>
          <t>Kebijakan Pengaduan masyarakat telah diimplementasikan</t>
        </is>
      </c>
      <c r="I175" s="15" t="inlineStr">
        <is>
          <t>A</t>
        </is>
      </c>
      <c r="J175" s="15" t="n">
        <v>1</v>
      </c>
      <c r="K175" s="49" t="n"/>
      <c r="L175" s="15" t="n"/>
      <c r="M175" s="15" t="inlineStr">
        <is>
          <t>—</t>
        </is>
      </c>
      <c r="N175" s="15" t="inlineStr">
        <is>
          <t>—</t>
        </is>
      </c>
      <c r="O175" s="15" t="inlineStr">
        <is>
          <t>—</t>
        </is>
      </c>
      <c r="P175" s="15" t="n"/>
      <c r="Q175" s="36" t="inlineStr">
        <is>
          <t>https://drive.google.com/drive/folders/1T9ntZOGgyEhymJDETIeMqCCo_rMHeY53?usp=drive_link</t>
        </is>
      </c>
      <c r="R175" s="15" t="n">
        <v>83</v>
      </c>
    </row>
    <row r="176">
      <c r="A176" s="15" t="inlineStr">
        <is>
          <t>Kanwil BPN Provinsi Gorontalo</t>
        </is>
      </c>
      <c r="B176" s="15" t="inlineStr">
        <is>
          <t>PENGUNGKIT</t>
        </is>
      </c>
      <c r="C176" s="15" t="inlineStr">
        <is>
          <t>5</t>
        </is>
      </c>
      <c r="D176"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6" s="15" t="inlineStr">
        <is>
          <t>iii</t>
        </is>
      </c>
      <c r="F176" s="15" t="inlineStr">
        <is>
          <t>Pengaduan Masyarakat</t>
        </is>
      </c>
      <c r="G176" s="15" t="inlineStr">
        <is>
          <t>A.5.iii.b</t>
        </is>
      </c>
      <c r="H176" s="15" t="inlineStr">
        <is>
          <t>pengaduan masyarakat dtindaklanjuti</t>
        </is>
      </c>
      <c r="I176" s="15" t="inlineStr">
        <is>
          <t>Ya</t>
        </is>
      </c>
      <c r="J176" s="15" t="n">
        <v>1</v>
      </c>
      <c r="K176" s="49" t="n"/>
      <c r="L176" s="15" t="n"/>
      <c r="M176" s="15" t="inlineStr">
        <is>
          <t>—</t>
        </is>
      </c>
      <c r="N176" s="15" t="inlineStr">
        <is>
          <t>—</t>
        </is>
      </c>
      <c r="O176" s="15" t="inlineStr">
        <is>
          <t>—</t>
        </is>
      </c>
      <c r="P176" s="15" t="n"/>
      <c r="Q176" s="36" t="inlineStr">
        <is>
          <t>https://drive.google.com/drive/u/3/folders/13miNbEK6qzim1BQ7Lyj-QMxXjS7r3dRX</t>
        </is>
      </c>
      <c r="R176" s="15" t="n">
        <v>84</v>
      </c>
    </row>
    <row r="177">
      <c r="A177" s="15" t="inlineStr">
        <is>
          <t>Kanwil BPN Provinsi Gorontalo</t>
        </is>
      </c>
      <c r="B177" s="15" t="inlineStr">
        <is>
          <t>PENGUNGKIT</t>
        </is>
      </c>
      <c r="C177" s="15" t="inlineStr">
        <is>
          <t>5</t>
        </is>
      </c>
      <c r="D177"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7" s="15" t="inlineStr">
        <is>
          <t>iii</t>
        </is>
      </c>
      <c r="F177" s="15" t="inlineStr">
        <is>
          <t>Pengaduan Masyarakat</t>
        </is>
      </c>
      <c r="G177" s="15" t="inlineStr">
        <is>
          <t>A.5.iii.c</t>
        </is>
      </c>
      <c r="H177" s="15" t="inlineStr">
        <is>
          <t>Telah dilakukan monitoring dan evaluasi atas penanganan pengaduan masyarakat</t>
        </is>
      </c>
      <c r="I177" s="15" t="inlineStr">
        <is>
          <t>A</t>
        </is>
      </c>
      <c r="J177" s="15" t="n">
        <v>1</v>
      </c>
      <c r="K177" s="49" t="n"/>
      <c r="L177" s="15" t="n"/>
      <c r="M177" s="15" t="inlineStr">
        <is>
          <t>—</t>
        </is>
      </c>
      <c r="N177" s="15" t="inlineStr">
        <is>
          <t>—</t>
        </is>
      </c>
      <c r="O177" s="15" t="inlineStr">
        <is>
          <t>—</t>
        </is>
      </c>
      <c r="P177" s="15" t="n"/>
      <c r="Q177" s="36" t="inlineStr">
        <is>
          <t>https://drive.google.com/drive/folders/15TrPtRMBgR43eQxUvNS89PEgaCqodEpb?usp=drive_link</t>
        </is>
      </c>
      <c r="R177" s="15" t="n">
        <v>85</v>
      </c>
    </row>
    <row r="178">
      <c r="A178" s="15" t="inlineStr">
        <is>
          <t>Kanwil BPN Provinsi Gorontalo</t>
        </is>
      </c>
      <c r="B178" s="15" t="inlineStr">
        <is>
          <t>PENGUNGKIT</t>
        </is>
      </c>
      <c r="C178" s="15" t="inlineStr">
        <is>
          <t>5</t>
        </is>
      </c>
      <c r="D178"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8" s="15" t="inlineStr">
        <is>
          <t>iii</t>
        </is>
      </c>
      <c r="F178" s="15" t="inlineStr">
        <is>
          <t>Pengaduan Masyarakat</t>
        </is>
      </c>
      <c r="G178" s="15" t="inlineStr">
        <is>
          <t>A.5.iii.d</t>
        </is>
      </c>
      <c r="H178" s="15" t="inlineStr">
        <is>
          <t>Hasil evaluasi atas penanganan pengaduan masyarakat telah ditindaklanjuti</t>
        </is>
      </c>
      <c r="I178" s="15" t="inlineStr">
        <is>
          <t>A</t>
        </is>
      </c>
      <c r="J178" s="15" t="n">
        <v>1</v>
      </c>
      <c r="K178" s="49" t="n"/>
      <c r="L178" s="15" t="n"/>
      <c r="M178" s="15" t="inlineStr">
        <is>
          <t>—</t>
        </is>
      </c>
      <c r="N178" s="15" t="inlineStr">
        <is>
          <t>—</t>
        </is>
      </c>
      <c r="O178" s="15" t="inlineStr">
        <is>
          <t>—</t>
        </is>
      </c>
      <c r="P178" s="15" t="n"/>
      <c r="Q178" s="36" t="inlineStr">
        <is>
          <t>https://drive.google.com/drive/folders/113y8-Mf2LeJOG6Tsz0u88m35yjMZsH_2?usp=drive_link</t>
        </is>
      </c>
      <c r="R178" s="15" t="n">
        <v>86</v>
      </c>
    </row>
    <row r="179">
      <c r="A179" s="15" t="inlineStr">
        <is>
          <t>Kanwil BPN Provinsi Gorontalo</t>
        </is>
      </c>
      <c r="B179" s="15" t="inlineStr">
        <is>
          <t>PENGUNGKIT</t>
        </is>
      </c>
      <c r="C179" s="15" t="inlineStr">
        <is>
          <t>5</t>
        </is>
      </c>
      <c r="D179"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79" s="15" t="inlineStr">
        <is>
          <t>iv</t>
        </is>
      </c>
      <c r="F179" s="15" t="inlineStr">
        <is>
          <t>Whistle-Blowing System</t>
        </is>
      </c>
      <c r="G179" s="15" t="inlineStr">
        <is>
          <t>A.5.iv.a</t>
        </is>
      </c>
      <c r="H179" s="15" t="inlineStr">
        <is>
          <t>Whistle-Blowing System telah diterapkan</t>
        </is>
      </c>
      <c r="I179" s="15" t="inlineStr">
        <is>
          <t>A</t>
        </is>
      </c>
      <c r="J179" s="15" t="n">
        <v>1</v>
      </c>
      <c r="K179" s="49" t="n"/>
      <c r="L179" s="15" t="n"/>
      <c r="M179" s="15" t="inlineStr">
        <is>
          <t>—</t>
        </is>
      </c>
      <c r="N179" s="15" t="inlineStr">
        <is>
          <t>—</t>
        </is>
      </c>
      <c r="O179" s="15" t="inlineStr">
        <is>
          <t>—</t>
        </is>
      </c>
      <c r="P179" s="15" t="n"/>
      <c r="Q179" s="36" t="inlineStr">
        <is>
          <t>IV.a</t>
        </is>
      </c>
      <c r="R179" s="15" t="n">
        <v>88</v>
      </c>
    </row>
    <row r="180">
      <c r="A180" s="15" t="inlineStr">
        <is>
          <t>Kanwil BPN Provinsi Gorontalo</t>
        </is>
      </c>
      <c r="B180" s="15" t="inlineStr">
        <is>
          <t>PENGUNGKIT</t>
        </is>
      </c>
      <c r="C180" s="15" t="inlineStr">
        <is>
          <t>5</t>
        </is>
      </c>
      <c r="D180"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0" s="15" t="inlineStr">
        <is>
          <t>iv</t>
        </is>
      </c>
      <c r="F180" s="15" t="inlineStr">
        <is>
          <t>Whistle-Blowing System</t>
        </is>
      </c>
      <c r="G180" s="15" t="inlineStr">
        <is>
          <t>A.5.iv.b</t>
        </is>
      </c>
      <c r="H180" s="15" t="inlineStr">
        <is>
          <t>Telah dilakukan evaluasi atas penerapan Whistle Blowing System</t>
        </is>
      </c>
      <c r="I180" s="15" t="inlineStr">
        <is>
          <t>A</t>
        </is>
      </c>
      <c r="J180" s="15" t="n">
        <v>1</v>
      </c>
      <c r="K180" s="49" t="n"/>
      <c r="L180" s="15" t="n"/>
      <c r="M180" s="15" t="inlineStr">
        <is>
          <t>—</t>
        </is>
      </c>
      <c r="N180" s="15" t="inlineStr">
        <is>
          <t>—</t>
        </is>
      </c>
      <c r="O180" s="15" t="inlineStr">
        <is>
          <t>—</t>
        </is>
      </c>
      <c r="P180" s="15" t="n"/>
      <c r="Q180" s="36" t="inlineStr">
        <is>
          <t>https://drive.google.com/drive/folders/1BwjQQD9uJHf8ggo3Q1svdPEr0AhekE48?usp=drive_link</t>
        </is>
      </c>
      <c r="R180" s="15" t="n">
        <v>89</v>
      </c>
    </row>
    <row r="181">
      <c r="A181" s="15" t="inlineStr">
        <is>
          <t>Kanwil BPN Provinsi Gorontalo</t>
        </is>
      </c>
      <c r="B181" s="15" t="inlineStr">
        <is>
          <t>PENGUNGKIT</t>
        </is>
      </c>
      <c r="C181" s="15" t="inlineStr">
        <is>
          <t>5</t>
        </is>
      </c>
      <c r="D181"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1" s="15" t="inlineStr">
        <is>
          <t>iv</t>
        </is>
      </c>
      <c r="F181" s="15" t="inlineStr">
        <is>
          <t>Whistle-Blowing System</t>
        </is>
      </c>
      <c r="G181" s="15" t="inlineStr">
        <is>
          <t>A.5.iv.c</t>
        </is>
      </c>
      <c r="H181" s="15" t="inlineStr">
        <is>
          <t>Hasil evaluasi atas penerapan Whistle Blowing System telah ditindaklanjuti</t>
        </is>
      </c>
      <c r="I181" s="15" t="inlineStr">
        <is>
          <t>A</t>
        </is>
      </c>
      <c r="J181" s="15" t="n">
        <v>1</v>
      </c>
      <c r="K181" s="49" t="n"/>
      <c r="L181" s="15" t="n"/>
      <c r="M181" s="15" t="inlineStr">
        <is>
          <t>—</t>
        </is>
      </c>
      <c r="N181" s="15" t="inlineStr">
        <is>
          <t>—</t>
        </is>
      </c>
      <c r="O181" s="15" t="inlineStr">
        <is>
          <t>—</t>
        </is>
      </c>
      <c r="P181" s="15" t="n"/>
      <c r="Q181" s="36" t="inlineStr">
        <is>
          <t>https://drive.google.com/drive/folders/1mXy9DTn8wMc7cpaycvbZIwk_693mtgZE?usp=drive_link</t>
        </is>
      </c>
      <c r="R181" s="15" t="n">
        <v>90</v>
      </c>
    </row>
    <row r="182">
      <c r="A182" s="15" t="inlineStr">
        <is>
          <t>Kanwil BPN Provinsi Gorontalo</t>
        </is>
      </c>
      <c r="B182" s="15" t="inlineStr">
        <is>
          <t>PENGUNGKIT</t>
        </is>
      </c>
      <c r="C182" s="15" t="inlineStr">
        <is>
          <t>5</t>
        </is>
      </c>
      <c r="D182"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2" s="15" t="inlineStr">
        <is>
          <t>v</t>
        </is>
      </c>
      <c r="F182" s="15" t="inlineStr">
        <is>
          <t>Penanganan Benturan Kepentingan</t>
        </is>
      </c>
      <c r="G182" s="15" t="inlineStr">
        <is>
          <t>A.5.v.a</t>
        </is>
      </c>
      <c r="H182" s="15" t="inlineStr">
        <is>
          <t>Telah terdapat identifikasi/pemetaan benturan kepentingan dalam tugas fungsi utama</t>
        </is>
      </c>
      <c r="I182" s="15" t="inlineStr">
        <is>
          <t>A</t>
        </is>
      </c>
      <c r="J182" s="15" t="n">
        <v>1</v>
      </c>
      <c r="K182" s="49" t="n"/>
      <c r="L182" s="15" t="n"/>
      <c r="M182" s="15" t="inlineStr">
        <is>
          <t>—</t>
        </is>
      </c>
      <c r="N182" s="15" t="inlineStr">
        <is>
          <t>—</t>
        </is>
      </c>
      <c r="O182" s="15" t="inlineStr">
        <is>
          <t>—</t>
        </is>
      </c>
      <c r="P182" s="15" t="n"/>
      <c r="Q182" s="36" t="inlineStr">
        <is>
          <t>https://drive.google.com/drive/folders/10_fMXijeYCKVVuqrkh41OJ4OgWAB3gn6?usp=drive_link</t>
        </is>
      </c>
      <c r="R182" s="15" t="n">
        <v>92</v>
      </c>
    </row>
    <row r="183">
      <c r="A183" s="15" t="inlineStr">
        <is>
          <t>Kanwil BPN Provinsi Gorontalo</t>
        </is>
      </c>
      <c r="B183" s="15" t="inlineStr">
        <is>
          <t>PENGUNGKIT</t>
        </is>
      </c>
      <c r="C183" s="15" t="inlineStr">
        <is>
          <t>5</t>
        </is>
      </c>
      <c r="D183"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3" s="15" t="inlineStr">
        <is>
          <t>v</t>
        </is>
      </c>
      <c r="F183" s="15" t="inlineStr">
        <is>
          <t>Penanganan Benturan Kepentingan</t>
        </is>
      </c>
      <c r="G183" s="15" t="inlineStr">
        <is>
          <t>A.5.v.b</t>
        </is>
      </c>
      <c r="H183" s="15" t="inlineStr">
        <is>
          <t>Penanganan Benturan Kepentingan telah disosialisasikan/internalisasi</t>
        </is>
      </c>
      <c r="I183" s="15" t="inlineStr">
        <is>
          <t>A</t>
        </is>
      </c>
      <c r="J183" s="15" t="n">
        <v>1</v>
      </c>
      <c r="K183" s="49" t="n"/>
      <c r="L183" s="15" t="n"/>
      <c r="M183" s="15" t="inlineStr">
        <is>
          <t>—</t>
        </is>
      </c>
      <c r="N183" s="15" t="inlineStr">
        <is>
          <t>—</t>
        </is>
      </c>
      <c r="O183" s="15" t="inlineStr">
        <is>
          <t>—</t>
        </is>
      </c>
      <c r="P183" s="15" t="n"/>
      <c r="Q183" s="36" t="inlineStr">
        <is>
          <t>https://drive.google.com/drive/folders/11zFBJrIMrlEk_nGxUBk3hiT8usS1W_j0?usp=drive_link</t>
        </is>
      </c>
      <c r="R183" s="15" t="n">
        <v>93</v>
      </c>
    </row>
    <row r="184">
      <c r="A184" s="15" t="inlineStr">
        <is>
          <t>Kanwil BPN Provinsi Gorontalo</t>
        </is>
      </c>
      <c r="B184" s="15" t="inlineStr">
        <is>
          <t>PENGUNGKIT</t>
        </is>
      </c>
      <c r="C184" s="15" t="inlineStr">
        <is>
          <t>5</t>
        </is>
      </c>
      <c r="D184"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4" s="15" t="inlineStr">
        <is>
          <t>v</t>
        </is>
      </c>
      <c r="F184" s="15" t="inlineStr">
        <is>
          <t>Penanganan Benturan Kepentingan</t>
        </is>
      </c>
      <c r="G184" s="15" t="inlineStr">
        <is>
          <t>A.5.v.c</t>
        </is>
      </c>
      <c r="H184" s="15" t="inlineStr">
        <is>
          <t>Penanganan Benturan Kepentingan telah diimplementasikan</t>
        </is>
      </c>
      <c r="I184" s="15" t="inlineStr">
        <is>
          <t>A</t>
        </is>
      </c>
      <c r="J184" s="15" t="n">
        <v>1</v>
      </c>
      <c r="K184" s="49" t="n"/>
      <c r="L184" s="15" t="n"/>
      <c r="M184" s="15" t="inlineStr">
        <is>
          <t>—</t>
        </is>
      </c>
      <c r="N184" s="15" t="inlineStr">
        <is>
          <t>—</t>
        </is>
      </c>
      <c r="O184" s="15" t="inlineStr">
        <is>
          <t>—</t>
        </is>
      </c>
      <c r="P184" s="15" t="n"/>
      <c r="Q184" s="36" t="inlineStr">
        <is>
          <t>https://drive.google.com/drive/folders/1Wv--eLuGe0-I3eEnSa8jEy51-AbHq8fO?usp=drive_link</t>
        </is>
      </c>
      <c r="R184" s="15" t="n">
        <v>94</v>
      </c>
    </row>
    <row r="185">
      <c r="A185" s="15" t="inlineStr">
        <is>
          <t>Kanwil BPN Provinsi Gorontalo</t>
        </is>
      </c>
      <c r="B185" s="15" t="inlineStr">
        <is>
          <t>PENGUNGKIT</t>
        </is>
      </c>
      <c r="C185" s="15" t="inlineStr">
        <is>
          <t>5</t>
        </is>
      </c>
      <c r="D185"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5" s="15" t="inlineStr">
        <is>
          <t>v</t>
        </is>
      </c>
      <c r="F185" s="15" t="inlineStr">
        <is>
          <t>Penanganan Benturan Kepentingan</t>
        </is>
      </c>
      <c r="G185" s="15" t="inlineStr">
        <is>
          <t>A.5.v.d</t>
        </is>
      </c>
      <c r="H185" s="15" t="inlineStr">
        <is>
          <t>Telah dilakukan evaluasi atas Penanganan Benturan Kepentingan</t>
        </is>
      </c>
      <c r="I185" s="15" t="inlineStr">
        <is>
          <t>A</t>
        </is>
      </c>
      <c r="J185" s="15" t="n">
        <v>1</v>
      </c>
      <c r="K185" s="49" t="n"/>
      <c r="L185" s="15" t="n"/>
      <c r="M185" s="15" t="inlineStr">
        <is>
          <t>—</t>
        </is>
      </c>
      <c r="N185" s="15" t="inlineStr">
        <is>
          <t>—</t>
        </is>
      </c>
      <c r="O185" s="15" t="inlineStr">
        <is>
          <t>—</t>
        </is>
      </c>
      <c r="P185" s="15" t="n"/>
      <c r="Q185" s="36" t="inlineStr">
        <is>
          <t>https://drive.google.com/drive/folders/1dj4rhM1_N0EXf71qIMBNaHhrLyrYhDmN?usp=drive_link</t>
        </is>
      </c>
      <c r="R185" s="15" t="n">
        <v>95</v>
      </c>
    </row>
    <row r="186">
      <c r="A186" s="15" t="inlineStr">
        <is>
          <t>Kanwil BPN Provinsi Gorontalo</t>
        </is>
      </c>
      <c r="B186" s="15" t="inlineStr">
        <is>
          <t>PENGUNGKIT</t>
        </is>
      </c>
      <c r="C186" s="15" t="inlineStr">
        <is>
          <t>5</t>
        </is>
      </c>
      <c r="D186" s="15" t="inlineStr">
        <is>
          <t>Lingkungan penengdalian telah di bangun ke 8 elemen pokok lingkungan pengendalian:
1. SK Kepala Kantor Pertanahan Tentang Pembentukan Satuan Tugas Sistem Pengendalian Intern Pemerintah (SPIP)  (tahun 2023 s.d. 2024)
2. Inovasi terkait lingkungan pengendalian
3. SK pendelegasian wewenang dan tanggngjawab (tahun 2023 s.d. 2024)
4. SK reward/punishment dalam rangka penegakan integritas dan kode etik (tahun 2023 s.d. 2024)
5. SK Tim Penegak Disiplin/SK kode etik perilaku</t>
        </is>
      </c>
      <c r="E186" s="15" t="inlineStr">
        <is>
          <t>v</t>
        </is>
      </c>
      <c r="F186" s="15" t="inlineStr">
        <is>
          <t>Penanganan Benturan Kepentingan</t>
        </is>
      </c>
      <c r="G186" s="15" t="inlineStr">
        <is>
          <t>A.5.v.e</t>
        </is>
      </c>
      <c r="H186" s="15" t="inlineStr">
        <is>
          <t>Hasil evaluasi atas Penanganan Benturan Kepentingan telah ditindaklanjuti</t>
        </is>
      </c>
      <c r="I186" s="15" t="inlineStr">
        <is>
          <t>A</t>
        </is>
      </c>
      <c r="J186" s="15" t="n">
        <v>1</v>
      </c>
      <c r="K186" s="49" t="n"/>
      <c r="L186" s="15" t="n"/>
      <c r="M186" s="15" t="inlineStr">
        <is>
          <t>—</t>
        </is>
      </c>
      <c r="N186" s="15" t="inlineStr">
        <is>
          <t>—</t>
        </is>
      </c>
      <c r="O186" s="15" t="inlineStr">
        <is>
          <t>—</t>
        </is>
      </c>
      <c r="P186" s="15" t="n"/>
      <c r="Q186" s="36" t="inlineStr">
        <is>
          <t>V.e</t>
        </is>
      </c>
      <c r="R186" s="15" t="n">
        <v>96</v>
      </c>
    </row>
    <row r="187">
      <c r="A187" s="15" t="inlineStr">
        <is>
          <t>Kanwil BPN Provinsi Gorontalo</t>
        </is>
      </c>
      <c r="B187" s="15" t="inlineStr">
        <is>
          <t>PENGUNGKIT</t>
        </is>
      </c>
      <c r="C187" s="15" t="inlineStr">
        <is>
          <t>6</t>
        </is>
      </c>
      <c r="D187" s="15" t="inlineStr">
        <is>
          <t>PENINGKATAN KUALITAS PELAYANAN PUBLIK</t>
        </is>
      </c>
      <c r="E187" s="15" t="inlineStr">
        <is>
          <t>i</t>
        </is>
      </c>
      <c r="F187" s="15" t="inlineStr">
        <is>
          <t>Standar Pelayanan</t>
        </is>
      </c>
      <c r="G187" s="15" t="inlineStr">
        <is>
          <t>A.6.i.a</t>
        </is>
      </c>
      <c r="H187" s="15" t="inlineStr">
        <is>
          <t>Terdapat kebijakan standar pelayanan</t>
        </is>
      </c>
      <c r="I187" s="15" t="inlineStr">
        <is>
          <t>B</t>
        </is>
      </c>
      <c r="J187" s="15" t="n">
        <v>0.75</v>
      </c>
      <c r="K187" s="49" t="n"/>
      <c r="L187" s="15" t="n"/>
      <c r="M187" s="15" t="inlineStr">
        <is>
          <t>—</t>
        </is>
      </c>
      <c r="N187" s="15" t="inlineStr">
        <is>
          <t>—</t>
        </is>
      </c>
      <c r="O187" s="15" t="inlineStr">
        <is>
          <t>—</t>
        </is>
      </c>
      <c r="P187" s="15" t="n"/>
      <c r="Q187" s="36" t="inlineStr">
        <is>
          <t>I.a</t>
        </is>
      </c>
      <c r="R187" s="15" t="n">
        <v>99</v>
      </c>
    </row>
    <row r="188">
      <c r="A188" s="15" t="inlineStr">
        <is>
          <t>Kanwil BPN Provinsi Gorontalo</t>
        </is>
      </c>
      <c r="B188" s="15" t="inlineStr">
        <is>
          <t>PENGUNGKIT</t>
        </is>
      </c>
      <c r="C188" s="15" t="inlineStr">
        <is>
          <t>6</t>
        </is>
      </c>
      <c r="D188" s="15" t="inlineStr">
        <is>
          <t>PENINGKATAN KUALITAS PELAYANAN PUBLIK</t>
        </is>
      </c>
      <c r="E188" s="15" t="inlineStr">
        <is>
          <t>i</t>
        </is>
      </c>
      <c r="F188" s="15" t="inlineStr">
        <is>
          <t>Standar Pelayanan</t>
        </is>
      </c>
      <c r="G188" s="15" t="inlineStr">
        <is>
          <t>A.6.i.b</t>
        </is>
      </c>
      <c r="H188" s="15" t="inlineStr">
        <is>
          <t>Standar pelayanan telah dimaklumatkan</t>
        </is>
      </c>
      <c r="I188" s="15" t="inlineStr">
        <is>
          <t>A</t>
        </is>
      </c>
      <c r="J188" s="15" t="n">
        <v>1</v>
      </c>
      <c r="K188" s="49" t="n"/>
      <c r="L188" s="15" t="n"/>
      <c r="M188" s="15" t="inlineStr">
        <is>
          <t>—</t>
        </is>
      </c>
      <c r="N188" s="15" t="inlineStr">
        <is>
          <t>—</t>
        </is>
      </c>
      <c r="O188" s="15" t="inlineStr">
        <is>
          <t>—</t>
        </is>
      </c>
      <c r="P188" s="15" t="n"/>
      <c r="Q188" s="36" t="inlineStr">
        <is>
          <t>https://drive.google.com/drive/folders/1PduKlMxCXO4bTHdNkDR1QHzy6QQabEHx?usp=drive_link</t>
        </is>
      </c>
      <c r="R188" s="15" t="n">
        <v>100</v>
      </c>
    </row>
    <row r="189">
      <c r="A189" s="15" t="inlineStr">
        <is>
          <t>Kanwil BPN Provinsi Gorontalo</t>
        </is>
      </c>
      <c r="B189" s="15" t="inlineStr">
        <is>
          <t>PENGUNGKIT</t>
        </is>
      </c>
      <c r="C189" s="15" t="inlineStr">
        <is>
          <t>6</t>
        </is>
      </c>
      <c r="D189" s="15" t="inlineStr">
        <is>
          <t>PENINGKATAN KUALITAS PELAYANAN PUBLIK</t>
        </is>
      </c>
      <c r="E189" s="15" t="inlineStr">
        <is>
          <t>i</t>
        </is>
      </c>
      <c r="F189" s="15" t="inlineStr">
        <is>
          <t>Standar Pelayanan</t>
        </is>
      </c>
      <c r="G189" s="15" t="inlineStr">
        <is>
          <t>A.6.i.c</t>
        </is>
      </c>
      <c r="H189" s="15" t="inlineStr">
        <is>
          <t>Dilakukan reviu dan perbaikan atas standar pelayanan</t>
        </is>
      </c>
      <c r="I189" s="15" t="inlineStr">
        <is>
          <t>A</t>
        </is>
      </c>
      <c r="J189" s="15" t="n">
        <v>1</v>
      </c>
      <c r="K189" s="49" t="n"/>
      <c r="L189" s="15" t="n"/>
      <c r="M189" s="15" t="inlineStr">
        <is>
          <t>—</t>
        </is>
      </c>
      <c r="N189" s="15" t="inlineStr">
        <is>
          <t>—</t>
        </is>
      </c>
      <c r="O189" s="15" t="inlineStr">
        <is>
          <t>—</t>
        </is>
      </c>
      <c r="P189" s="15" t="n"/>
      <c r="Q189" s="36" t="inlineStr">
        <is>
          <t>https://drive.google.com/drive/folders/1Gb2qP6oqlls2GzJyUMB73iEDSe5R-ImR?usp=drive_link</t>
        </is>
      </c>
      <c r="R189" s="15" t="n">
        <v>101</v>
      </c>
    </row>
    <row r="190">
      <c r="A190" s="15" t="inlineStr">
        <is>
          <t>Kanwil BPN Provinsi Gorontalo</t>
        </is>
      </c>
      <c r="B190" s="15" t="inlineStr">
        <is>
          <t>PENGUNGKIT</t>
        </is>
      </c>
      <c r="C190" s="15" t="inlineStr">
        <is>
          <t>6</t>
        </is>
      </c>
      <c r="D190" s="15" t="inlineStr">
        <is>
          <t>PENINGKATAN KUALITAS PELAYANAN PUBLIK</t>
        </is>
      </c>
      <c r="E190" s="15" t="inlineStr">
        <is>
          <t>i</t>
        </is>
      </c>
      <c r="F190" s="15" t="inlineStr">
        <is>
          <t>Standar Pelayanan</t>
        </is>
      </c>
      <c r="G190" s="15" t="inlineStr">
        <is>
          <t>A.6.i.d</t>
        </is>
      </c>
      <c r="H190" s="15" t="inlineStr">
        <is>
          <t>telah melakukan publikasi atas standar pelayanan dan maklumat pelayanan</t>
        </is>
      </c>
      <c r="I190" s="15" t="inlineStr">
        <is>
          <t>Ya</t>
        </is>
      </c>
      <c r="J190" s="15" t="n">
        <v>1</v>
      </c>
      <c r="K190" s="49" t="n"/>
      <c r="L190" s="15" t="n"/>
      <c r="M190" s="15" t="inlineStr">
        <is>
          <t>—</t>
        </is>
      </c>
      <c r="N190" s="15" t="inlineStr">
        <is>
          <t>—</t>
        </is>
      </c>
      <c r="O190" s="15" t="inlineStr">
        <is>
          <t>—</t>
        </is>
      </c>
      <c r="P190" s="15" t="n"/>
      <c r="Q190" s="36" t="inlineStr">
        <is>
          <t>https://drive.google.com/drive/folders/13rRC_aXe9q_3tvvJ4wHNCQ7z7HyHejD8?usp=drive_link</t>
        </is>
      </c>
      <c r="R190" s="15" t="n">
        <v>102</v>
      </c>
    </row>
    <row r="191">
      <c r="A191" s="15" t="inlineStr">
        <is>
          <t>Kanwil BPN Provinsi Gorontalo</t>
        </is>
      </c>
      <c r="B191" s="15" t="inlineStr">
        <is>
          <t>PENGUNGKIT</t>
        </is>
      </c>
      <c r="C191" s="15" t="inlineStr">
        <is>
          <t>6</t>
        </is>
      </c>
      <c r="D191" s="15" t="inlineStr">
        <is>
          <t>PENINGKATAN KUALITAS PELAYANAN PUBLIK</t>
        </is>
      </c>
      <c r="E191" s="15" t="inlineStr">
        <is>
          <t>ii</t>
        </is>
      </c>
      <c r="F191" s="15" t="inlineStr">
        <is>
          <t>Budaya Pelayanan Prima</t>
        </is>
      </c>
      <c r="G191" s="15" t="inlineStr">
        <is>
          <t>A.6.ii.a</t>
        </is>
      </c>
      <c r="H191" s="15" t="inlineStr">
        <is>
          <t>Telah dilakukan berbagai upaya peningkatan kemampuan dan/atau kompetensi tentang penerapan budaya pelayanan prima</t>
        </is>
      </c>
      <c r="I191" s="15" t="inlineStr">
        <is>
          <t>A</t>
        </is>
      </c>
      <c r="J191" s="15" t="n">
        <v>1</v>
      </c>
      <c r="K191" s="49" t="n"/>
      <c r="L191" s="15" t="n"/>
      <c r="M191" s="15" t="inlineStr">
        <is>
          <t>—</t>
        </is>
      </c>
      <c r="N191" s="15" t="inlineStr">
        <is>
          <t>—</t>
        </is>
      </c>
      <c r="O191" s="15" t="inlineStr">
        <is>
          <t>—</t>
        </is>
      </c>
      <c r="P191" s="15" t="n"/>
      <c r="Q191" s="36" t="inlineStr">
        <is>
          <t>https://drive.google.com/drive/folders/1nQa5TB-4_lbpwMDLzFMP7RicShy92Qyc?usp=drive_link</t>
        </is>
      </c>
      <c r="R191" s="15" t="n">
        <v>104</v>
      </c>
    </row>
    <row r="192">
      <c r="A192" s="15" t="inlineStr">
        <is>
          <t>Kanwil BPN Provinsi Gorontalo</t>
        </is>
      </c>
      <c r="B192" s="15" t="inlineStr">
        <is>
          <t>PENGUNGKIT</t>
        </is>
      </c>
      <c r="C192" s="15" t="inlineStr">
        <is>
          <t>6</t>
        </is>
      </c>
      <c r="D192" s="15" t="inlineStr">
        <is>
          <t>PENINGKATAN KUALITAS PELAYANAN PUBLIK</t>
        </is>
      </c>
      <c r="E192" s="15" t="inlineStr">
        <is>
          <t>ii</t>
        </is>
      </c>
      <c r="F192" s="15" t="inlineStr">
        <is>
          <t>Budaya Pelayanan Prima</t>
        </is>
      </c>
      <c r="G192" s="15" t="inlineStr">
        <is>
          <t>A.6.ii.b</t>
        </is>
      </c>
      <c r="H192" s="15" t="inlineStr">
        <is>
          <t>Informasi tentang pelayanan mudah diakses melalui berbagai media</t>
        </is>
      </c>
      <c r="I192" s="15" t="inlineStr">
        <is>
          <t>A</t>
        </is>
      </c>
      <c r="J192" s="15" t="n">
        <v>1</v>
      </c>
      <c r="K192" s="49" t="n"/>
      <c r="L192" s="15" t="n"/>
      <c r="M192" s="15" t="inlineStr">
        <is>
          <t>—</t>
        </is>
      </c>
      <c r="N192" s="15" t="inlineStr">
        <is>
          <t>—</t>
        </is>
      </c>
      <c r="O192" s="15" t="inlineStr">
        <is>
          <t>—</t>
        </is>
      </c>
      <c r="P192" s="15" t="n"/>
      <c r="Q192" s="36" t="inlineStr">
        <is>
          <t>https://drive.google.com/drive/folders/1MMDBvAp3srvTGmPPp4bV1cnKe5XA-5tB?usp=drive_link</t>
        </is>
      </c>
      <c r="R192" s="15" t="n">
        <v>105</v>
      </c>
    </row>
    <row r="193">
      <c r="A193" s="15" t="inlineStr">
        <is>
          <t>Kanwil BPN Provinsi Gorontalo</t>
        </is>
      </c>
      <c r="B193" s="15" t="inlineStr">
        <is>
          <t>PENGUNGKIT</t>
        </is>
      </c>
      <c r="C193" s="15" t="inlineStr">
        <is>
          <t>6</t>
        </is>
      </c>
      <c r="D193" s="15" t="inlineStr">
        <is>
          <t>PENINGKATAN KUALITAS PELAYANAN PUBLIK</t>
        </is>
      </c>
      <c r="E193" s="15" t="inlineStr">
        <is>
          <t>ii</t>
        </is>
      </c>
      <c r="F193" s="15" t="inlineStr">
        <is>
          <t>Budaya Pelayanan Prima</t>
        </is>
      </c>
      <c r="G193" s="15" t="inlineStr">
        <is>
          <t>A.6.ii.c</t>
        </is>
      </c>
      <c r="H193" s="15" t="inlineStr">
        <is>
          <t>Telah terdapat sistem pemberian penghargaan dan sanksi bagi petugas pemberi pelayanan</t>
        </is>
      </c>
      <c r="I193" s="15" t="inlineStr">
        <is>
          <t>A</t>
        </is>
      </c>
      <c r="J193" s="15" t="n">
        <v>1</v>
      </c>
      <c r="K193" s="49" t="n"/>
      <c r="L193" s="15" t="n"/>
      <c r="M193" s="15" t="inlineStr">
        <is>
          <t>—</t>
        </is>
      </c>
      <c r="N193" s="15" t="inlineStr">
        <is>
          <t>—</t>
        </is>
      </c>
      <c r="O193" s="15" t="inlineStr">
        <is>
          <t>—</t>
        </is>
      </c>
      <c r="P193" s="15" t="n"/>
      <c r="Q193" s="36" t="inlineStr">
        <is>
          <t>https://drive.google.com/drive/folders/1QXB-mMYahr169cwvIgXjWtR8RjvIwevd?usp=drive_link</t>
        </is>
      </c>
      <c r="R193" s="15" t="n">
        <v>106</v>
      </c>
    </row>
    <row r="194">
      <c r="A194" s="15" t="inlineStr">
        <is>
          <t>Kanwil BPN Provinsi Gorontalo</t>
        </is>
      </c>
      <c r="B194" s="15" t="inlineStr">
        <is>
          <t>PENGUNGKIT</t>
        </is>
      </c>
      <c r="C194" s="15" t="inlineStr">
        <is>
          <t>6</t>
        </is>
      </c>
      <c r="D194" s="15" t="inlineStr">
        <is>
          <t>PENINGKATAN KUALITAS PELAYANAN PUBLIK</t>
        </is>
      </c>
      <c r="E194" s="15" t="inlineStr">
        <is>
          <t>ii</t>
        </is>
      </c>
      <c r="F194" s="15" t="inlineStr">
        <is>
          <t>Budaya Pelayanan Prima</t>
        </is>
      </c>
      <c r="G194" s="15" t="inlineStr">
        <is>
          <t>A.6.ii.d</t>
        </is>
      </c>
      <c r="H194" s="15" t="inlineStr">
        <is>
          <t>Telah terdapat sistem pemberian kompensasi kepada penerima layanan bila layanan tidak sesuai standar</t>
        </is>
      </c>
      <c r="I194" s="15" t="inlineStr">
        <is>
          <t>A</t>
        </is>
      </c>
      <c r="J194" s="15" t="n">
        <v>1</v>
      </c>
      <c r="K194" s="49" t="n"/>
      <c r="L194" s="15" t="n"/>
      <c r="M194" s="15" t="inlineStr">
        <is>
          <t>—</t>
        </is>
      </c>
      <c r="N194" s="15" t="inlineStr">
        <is>
          <t>—</t>
        </is>
      </c>
      <c r="O194" s="15" t="inlineStr">
        <is>
          <t>—</t>
        </is>
      </c>
      <c r="P194" s="15" t="n"/>
      <c r="Q194" s="36" t="inlineStr">
        <is>
          <t>https://drive.google.com/drive/folders/16fhNkg1-PG9bNTLki9Tu-_4j1knLXmn-?usp=drive_link</t>
        </is>
      </c>
      <c r="R194" s="15" t="n">
        <v>107</v>
      </c>
    </row>
    <row r="195">
      <c r="A195" s="15" t="inlineStr">
        <is>
          <t>Kanwil BPN Provinsi Gorontalo</t>
        </is>
      </c>
      <c r="B195" s="15" t="inlineStr">
        <is>
          <t>PENGUNGKIT</t>
        </is>
      </c>
      <c r="C195" s="15" t="inlineStr">
        <is>
          <t>6</t>
        </is>
      </c>
      <c r="D195" s="15" t="inlineStr">
        <is>
          <t>PENINGKATAN KUALITAS PELAYANAN PUBLIK</t>
        </is>
      </c>
      <c r="E195" s="15" t="inlineStr">
        <is>
          <t>ii</t>
        </is>
      </c>
      <c r="F195" s="15" t="inlineStr">
        <is>
          <t>Budaya Pelayanan Prima</t>
        </is>
      </c>
      <c r="G195" s="15" t="inlineStr">
        <is>
          <t>A.6.ii.e</t>
        </is>
      </c>
      <c r="H195" s="15" t="inlineStr">
        <is>
          <t>Terdapat sarana layanan terpadu/terintegrasi</t>
        </is>
      </c>
      <c r="I195" s="15" t="inlineStr">
        <is>
          <t>A</t>
        </is>
      </c>
      <c r="J195" s="15" t="n">
        <v>1</v>
      </c>
      <c r="K195" s="49" t="n"/>
      <c r="L195" s="15" t="n"/>
      <c r="M195" s="15" t="inlineStr">
        <is>
          <t>—</t>
        </is>
      </c>
      <c r="N195" s="15" t="inlineStr">
        <is>
          <t>—</t>
        </is>
      </c>
      <c r="O195" s="15" t="inlineStr">
        <is>
          <t>—</t>
        </is>
      </c>
      <c r="P195" s="15" t="n"/>
      <c r="Q195" s="36" t="inlineStr">
        <is>
          <t>https://drive.google.com/drive/folders/1LFu_aG2MMYQRNTlSvHqA3PTabof30zG7?usp=drive_link</t>
        </is>
      </c>
      <c r="R195" s="15" t="n">
        <v>108</v>
      </c>
    </row>
    <row r="196">
      <c r="A196" s="15" t="inlineStr">
        <is>
          <t>Kanwil BPN Provinsi Gorontalo</t>
        </is>
      </c>
      <c r="B196" s="15" t="inlineStr">
        <is>
          <t>PENGUNGKIT</t>
        </is>
      </c>
      <c r="C196" s="15" t="inlineStr">
        <is>
          <t>6</t>
        </is>
      </c>
      <c r="D196" s="15" t="inlineStr">
        <is>
          <t>PENINGKATAN KUALITAS PELAYANAN PUBLIK</t>
        </is>
      </c>
      <c r="E196" s="15" t="inlineStr">
        <is>
          <t>ii</t>
        </is>
      </c>
      <c r="F196" s="15" t="inlineStr">
        <is>
          <t>Budaya Pelayanan Prima</t>
        </is>
      </c>
      <c r="G196" s="15" t="inlineStr">
        <is>
          <t>A.6.ii.f</t>
        </is>
      </c>
      <c r="H196" s="15" t="inlineStr">
        <is>
          <t>Terdapat inovasi pelayanan</t>
        </is>
      </c>
      <c r="I196" s="15" t="inlineStr">
        <is>
          <t>A</t>
        </is>
      </c>
      <c r="J196" s="15" t="n">
        <v>1</v>
      </c>
      <c r="K196" s="49" t="n"/>
      <c r="L196" s="15" t="n"/>
      <c r="M196" s="15" t="inlineStr">
        <is>
          <t>—</t>
        </is>
      </c>
      <c r="N196" s="15" t="inlineStr">
        <is>
          <t>—</t>
        </is>
      </c>
      <c r="O196" s="15" t="inlineStr">
        <is>
          <t>—</t>
        </is>
      </c>
      <c r="P196" s="15" t="n"/>
      <c r="Q196" s="36" t="inlineStr">
        <is>
          <t>https://drive.google.com/drive/folders/1fog6LDV49FYkqXplpUMFBRqpj3MDakQZ?usp=drive_link</t>
        </is>
      </c>
      <c r="R196" s="15" t="n">
        <v>109</v>
      </c>
    </row>
    <row r="197">
      <c r="A197" s="15" t="inlineStr">
        <is>
          <t>Kanwil BPN Provinsi Gorontalo</t>
        </is>
      </c>
      <c r="B197" s="15" t="inlineStr">
        <is>
          <t>PENGUNGKIT</t>
        </is>
      </c>
      <c r="C197" s="15" t="inlineStr">
        <is>
          <t>6</t>
        </is>
      </c>
      <c r="D197" s="15" t="inlineStr">
        <is>
          <t>PENINGKATAN KUALITAS PELAYANAN PUBLIK</t>
        </is>
      </c>
      <c r="E197" s="15" t="inlineStr">
        <is>
          <t>iii</t>
        </is>
      </c>
      <c r="F197" s="15" t="inlineStr">
        <is>
          <t>Pengelolaan Pengaduan</t>
        </is>
      </c>
      <c r="G197" s="15" t="inlineStr">
        <is>
          <t>A.6.iii.a</t>
        </is>
      </c>
      <c r="H197" s="15" t="inlineStr">
        <is>
          <t>Terdapat media pengaduan dan konsultasi pelayanan yang terintegrasi dengan SP4N-Lapor!</t>
        </is>
      </c>
      <c r="I197" s="15" t="inlineStr">
        <is>
          <t>A</t>
        </is>
      </c>
      <c r="J197" s="15" t="n">
        <v>1</v>
      </c>
      <c r="K197" s="49" t="n"/>
      <c r="L197" s="15" t="n"/>
      <c r="M197" s="15" t="inlineStr">
        <is>
          <t>—</t>
        </is>
      </c>
      <c r="N197" s="15" t="inlineStr">
        <is>
          <t>—</t>
        </is>
      </c>
      <c r="O197" s="15" t="inlineStr">
        <is>
          <t>—</t>
        </is>
      </c>
      <c r="P197" s="15" t="n"/>
      <c r="Q197" s="36" t="inlineStr">
        <is>
          <t>https://drive.google.com/drive/folders/1Vgws7vTIzHWvr28hKRS8g0C3NjEY3RG3?usp=drive_link</t>
        </is>
      </c>
      <c r="R197" s="15" t="n">
        <v>111</v>
      </c>
    </row>
    <row r="198">
      <c r="A198" s="15" t="inlineStr">
        <is>
          <t>Kanwil BPN Provinsi Gorontalo</t>
        </is>
      </c>
      <c r="B198" s="15" t="inlineStr">
        <is>
          <t>PENGUNGKIT</t>
        </is>
      </c>
      <c r="C198" s="15" t="inlineStr">
        <is>
          <t>6</t>
        </is>
      </c>
      <c r="D198" s="15" t="inlineStr">
        <is>
          <t>PENINGKATAN KUALITAS PELAYANAN PUBLIK</t>
        </is>
      </c>
      <c r="E198" s="15" t="inlineStr">
        <is>
          <t>iii</t>
        </is>
      </c>
      <c r="F198" s="15" t="inlineStr">
        <is>
          <t>Pengelolaan Pengaduan</t>
        </is>
      </c>
      <c r="G198" s="15" t="inlineStr">
        <is>
          <t>A.6.iii.b</t>
        </is>
      </c>
      <c r="H198" s="15" t="inlineStr">
        <is>
          <t>Terdapat unit yang mengelola pengaduan dan konsultasi pelayanan</t>
        </is>
      </c>
      <c r="I198" s="15" t="inlineStr">
        <is>
          <t>A</t>
        </is>
      </c>
      <c r="J198" s="15" t="n">
        <v>1</v>
      </c>
      <c r="K198" s="49" t="n"/>
      <c r="L198" s="15" t="n"/>
      <c r="M198" s="15" t="inlineStr">
        <is>
          <t>—</t>
        </is>
      </c>
      <c r="N198" s="15" t="inlineStr">
        <is>
          <t>—</t>
        </is>
      </c>
      <c r="O198" s="15" t="inlineStr">
        <is>
          <t>—</t>
        </is>
      </c>
      <c r="P198" s="15" t="n"/>
      <c r="Q198" s="36" t="inlineStr">
        <is>
          <t>https://drive.google.com/drive/folders/1J-PJ5BAEYoRwZ4RM6lIPubQWiEPDhiHx?usp=drive_link</t>
        </is>
      </c>
      <c r="R198" s="15" t="n">
        <v>112</v>
      </c>
    </row>
    <row r="199">
      <c r="A199" s="15" t="inlineStr">
        <is>
          <t>Kanwil BPN Provinsi Gorontalo</t>
        </is>
      </c>
      <c r="B199" s="15" t="inlineStr">
        <is>
          <t>PENGUNGKIT</t>
        </is>
      </c>
      <c r="C199" s="15" t="inlineStr">
        <is>
          <t>6</t>
        </is>
      </c>
      <c r="D199" s="15" t="inlineStr">
        <is>
          <t>PENINGKATAN KUALITAS PELAYANAN PUBLIK</t>
        </is>
      </c>
      <c r="E199" s="15" t="inlineStr">
        <is>
          <t>iii</t>
        </is>
      </c>
      <c r="F199" s="15" t="inlineStr">
        <is>
          <t>Pengelolaan Pengaduan</t>
        </is>
      </c>
      <c r="G199" s="15" t="inlineStr">
        <is>
          <t>A.6.iii.c</t>
        </is>
      </c>
      <c r="H199" s="15" t="inlineStr">
        <is>
          <t>Telah dilakukan evaluasi atas penanganan keluhan/masukan dan konsultasi</t>
        </is>
      </c>
      <c r="I199" s="15" t="inlineStr">
        <is>
          <t>A</t>
        </is>
      </c>
      <c r="J199" s="15" t="n">
        <v>1</v>
      </c>
      <c r="K199" s="49" t="n"/>
      <c r="L199" s="15" t="n"/>
      <c r="M199" s="15" t="inlineStr">
        <is>
          <t>—</t>
        </is>
      </c>
      <c r="N199" s="15" t="inlineStr">
        <is>
          <t>—</t>
        </is>
      </c>
      <c r="O199" s="15" t="inlineStr">
        <is>
          <t>—</t>
        </is>
      </c>
      <c r="P199" s="15" t="n"/>
      <c r="Q199" s="36" t="inlineStr">
        <is>
          <t>https://drive.google.com/drive/folders/1j_ZRS4WQ6UUbxwZ8BTJypG7ce2SraJDF?usp=drive_link</t>
        </is>
      </c>
      <c r="R199" s="15" t="n">
        <v>113</v>
      </c>
    </row>
    <row r="200">
      <c r="A200" s="15" t="inlineStr">
        <is>
          <t>Kanwil BPN Provinsi Gorontalo</t>
        </is>
      </c>
      <c r="B200" s="15" t="inlineStr">
        <is>
          <t>PENGUNGKIT</t>
        </is>
      </c>
      <c r="C200" s="15" t="inlineStr">
        <is>
          <t>6</t>
        </is>
      </c>
      <c r="D200" s="15" t="inlineStr">
        <is>
          <t>PENINGKATAN KUALITAS PELAYANAN PUBLIK</t>
        </is>
      </c>
      <c r="E200" s="15" t="inlineStr">
        <is>
          <t>iv</t>
        </is>
      </c>
      <c r="F200" s="15" t="inlineStr">
        <is>
          <t>Penilaian Kepuasan terhadap Pelayanan</t>
        </is>
      </c>
      <c r="G200" s="15" t="inlineStr">
        <is>
          <t>A.6.iv.a</t>
        </is>
      </c>
      <c r="H200" s="15" t="inlineStr">
        <is>
          <t>Telah dilakukan survey kepuasan masyarakat terhadap pelayanan</t>
        </is>
      </c>
      <c r="I200" s="15" t="inlineStr">
        <is>
          <t>A</t>
        </is>
      </c>
      <c r="J200" s="15" t="n">
        <v>1</v>
      </c>
      <c r="K200" s="49" t="n"/>
      <c r="L200" s="15" t="n"/>
      <c r="M200" s="15" t="inlineStr">
        <is>
          <t>—</t>
        </is>
      </c>
      <c r="N200" s="15" t="inlineStr">
        <is>
          <t>—</t>
        </is>
      </c>
      <c r="O200" s="15" t="inlineStr">
        <is>
          <t>—</t>
        </is>
      </c>
      <c r="P200" s="15" t="n"/>
      <c r="Q200" s="36" t="inlineStr">
        <is>
          <t>https://drive.google.com/drive/folders/1mR4ksDIS-CvFYoHIg-026g_AfWKA8b4T?usp=drive_link</t>
        </is>
      </c>
      <c r="R200" s="15" t="n">
        <v>115</v>
      </c>
    </row>
    <row r="201">
      <c r="A201" s="15" t="inlineStr">
        <is>
          <t>Kanwil BPN Provinsi Gorontalo</t>
        </is>
      </c>
      <c r="B201" s="15" t="inlineStr">
        <is>
          <t>PENGUNGKIT</t>
        </is>
      </c>
      <c r="C201" s="15" t="inlineStr">
        <is>
          <t>6</t>
        </is>
      </c>
      <c r="D201" s="15" t="inlineStr">
        <is>
          <t>PENINGKATAN KUALITAS PELAYANAN PUBLIK</t>
        </is>
      </c>
      <c r="E201" s="15" t="inlineStr">
        <is>
          <t>iv</t>
        </is>
      </c>
      <c r="F201" s="15" t="inlineStr">
        <is>
          <t>Penilaian Kepuasan terhadap Pelayanan</t>
        </is>
      </c>
      <c r="G201" s="15" t="inlineStr">
        <is>
          <t>A.6.iv.b</t>
        </is>
      </c>
      <c r="H201" s="15" t="inlineStr">
        <is>
          <t>Hasil survei kepuasan masyarakat dapat diakses secara terbuka</t>
        </is>
      </c>
      <c r="I201" s="15" t="inlineStr">
        <is>
          <t>A</t>
        </is>
      </c>
      <c r="J201" s="15" t="n">
        <v>1</v>
      </c>
      <c r="K201" s="49" t="n"/>
      <c r="L201" s="15" t="n"/>
      <c r="M201" s="15" t="inlineStr">
        <is>
          <t>—</t>
        </is>
      </c>
      <c r="N201" s="15" t="inlineStr">
        <is>
          <t>—</t>
        </is>
      </c>
      <c r="O201" s="15" t="inlineStr">
        <is>
          <t>—</t>
        </is>
      </c>
      <c r="P201" s="15" t="n"/>
      <c r="Q201" s="36" t="inlineStr">
        <is>
          <t>https://drive.google.com/drive/folders/1-SZXzEYtcLfk6eRLe_k2sb2CjQSkHqNa?usp=drive_link</t>
        </is>
      </c>
      <c r="R201" s="15" t="n">
        <v>116</v>
      </c>
    </row>
    <row r="202">
      <c r="A202" s="15" t="inlineStr">
        <is>
          <t>Kanwil BPN Provinsi Gorontalo</t>
        </is>
      </c>
      <c r="B202" s="15" t="inlineStr">
        <is>
          <t>PENGUNGKIT</t>
        </is>
      </c>
      <c r="C202" s="15" t="inlineStr">
        <is>
          <t>6</t>
        </is>
      </c>
      <c r="D202" s="15" t="inlineStr">
        <is>
          <t>PENINGKATAN KUALITAS PELAYANAN PUBLIK</t>
        </is>
      </c>
      <c r="E202" s="15" t="inlineStr">
        <is>
          <t>iv</t>
        </is>
      </c>
      <c r="F202" s="15" t="inlineStr">
        <is>
          <t>Penilaian Kepuasan terhadap Pelayanan</t>
        </is>
      </c>
      <c r="G202" s="15" t="inlineStr">
        <is>
          <t>A.6.iv.c</t>
        </is>
      </c>
      <c r="H202" s="15" t="inlineStr">
        <is>
          <t>Dilakukan tindak lanjut atas hasil survei kepuasan masyarakat</t>
        </is>
      </c>
      <c r="I202" s="15" t="inlineStr">
        <is>
          <t>A</t>
        </is>
      </c>
      <c r="J202" s="15" t="n">
        <v>1</v>
      </c>
      <c r="K202" s="49" t="n"/>
      <c r="L202" s="15" t="n"/>
      <c r="M202" s="15" t="inlineStr">
        <is>
          <t>—</t>
        </is>
      </c>
      <c r="N202" s="15" t="inlineStr">
        <is>
          <t>—</t>
        </is>
      </c>
      <c r="O202" s="15" t="inlineStr">
        <is>
          <t>—</t>
        </is>
      </c>
      <c r="P202" s="15" t="n"/>
      <c r="Q202" s="36" t="inlineStr">
        <is>
          <t>https://drive.google.com/drive/folders/1O8VumDlXFNj8nRvikbBfDwKwzZ9A67l-?usp=drive_link</t>
        </is>
      </c>
      <c r="R202" s="15" t="n">
        <v>117</v>
      </c>
    </row>
    <row r="203">
      <c r="A203" s="15" t="inlineStr">
        <is>
          <t>Kanwil BPN Provinsi Gorontalo</t>
        </is>
      </c>
      <c r="B203" s="15" t="inlineStr">
        <is>
          <t>PENGUNGKIT</t>
        </is>
      </c>
      <c r="C203" s="15" t="inlineStr">
        <is>
          <t>6</t>
        </is>
      </c>
      <c r="D203" s="15" t="inlineStr">
        <is>
          <t>PENINGKATAN KUALITAS PELAYANAN PUBLIK</t>
        </is>
      </c>
      <c r="E203" s="15" t="inlineStr">
        <is>
          <t>v</t>
        </is>
      </c>
      <c r="F203" s="15" t="inlineStr">
        <is>
          <t>Pemanfaatan Teknologi Informasi</t>
        </is>
      </c>
      <c r="G203" s="15" t="inlineStr">
        <is>
          <t>A.6.v.a</t>
        </is>
      </c>
      <c r="H203" s="15" t="inlineStr">
        <is>
          <t>Telah menerapkan teknologi informasi dalam memberikan pelayanan</t>
        </is>
      </c>
      <c r="I203" s="15" t="inlineStr">
        <is>
          <t>A</t>
        </is>
      </c>
      <c r="J203" s="15" t="n">
        <v>1</v>
      </c>
      <c r="K203" s="49" t="n"/>
      <c r="L203" s="15" t="n"/>
      <c r="M203" s="15" t="inlineStr">
        <is>
          <t>—</t>
        </is>
      </c>
      <c r="N203" s="15" t="inlineStr">
        <is>
          <t>—</t>
        </is>
      </c>
      <c r="O203" s="15" t="inlineStr">
        <is>
          <t>—</t>
        </is>
      </c>
      <c r="P203" s="15" t="n"/>
      <c r="Q203" s="36" t="inlineStr">
        <is>
          <t>https://drive.google.com/drive/folders/1Q6nIaNGHYfEVt4-5cycRqOd4oVolHM-j?usp=drive_link</t>
        </is>
      </c>
      <c r="R203" s="15" t="n">
        <v>119</v>
      </c>
    </row>
    <row r="204">
      <c r="A204" s="15" t="inlineStr">
        <is>
          <t>Kanwil BPN Provinsi Gorontalo</t>
        </is>
      </c>
      <c r="B204" s="15" t="inlineStr">
        <is>
          <t>PENGUNGKIT</t>
        </is>
      </c>
      <c r="C204" s="15" t="inlineStr">
        <is>
          <t>6</t>
        </is>
      </c>
      <c r="D204" s="15" t="inlineStr">
        <is>
          <t>PENINGKATAN KUALITAS PELAYANAN PUBLIK</t>
        </is>
      </c>
      <c r="E204" s="15" t="inlineStr">
        <is>
          <t>v</t>
        </is>
      </c>
      <c r="F204" s="15" t="inlineStr">
        <is>
          <t>Pemanfaatan Teknologi Informasi</t>
        </is>
      </c>
      <c r="G204" s="15" t="inlineStr">
        <is>
          <t>A.6.v.b</t>
        </is>
      </c>
      <c r="H204" s="15" t="inlineStr">
        <is>
          <t>Telah membangun database pelayanan yang terintegrasi</t>
        </is>
      </c>
      <c r="I204" s="15" t="inlineStr">
        <is>
          <t>Ya</t>
        </is>
      </c>
      <c r="J204" s="15" t="n">
        <v>1</v>
      </c>
      <c r="K204" s="49" t="n"/>
      <c r="L204" s="15" t="n"/>
      <c r="M204" s="15" t="inlineStr">
        <is>
          <t>—</t>
        </is>
      </c>
      <c r="N204" s="15" t="inlineStr">
        <is>
          <t>—</t>
        </is>
      </c>
      <c r="O204" s="15" t="inlineStr">
        <is>
          <t>—</t>
        </is>
      </c>
      <c r="P204" s="15" t="n"/>
      <c r="Q204" s="36" t="inlineStr">
        <is>
          <t>https://drive.google.com/drive/folders/1dz__zTyTwAdmxr0RsA-WoAz-MUrYyhqP?usp=drive_link</t>
        </is>
      </c>
      <c r="R204" s="15" t="n">
        <v>120</v>
      </c>
    </row>
    <row r="205">
      <c r="A205" s="15" t="inlineStr">
        <is>
          <t>Kanwil BPN Provinsi Gorontalo</t>
        </is>
      </c>
      <c r="B205" s="15" t="inlineStr">
        <is>
          <t>PENGUNGKIT</t>
        </is>
      </c>
      <c r="C205" s="15" t="inlineStr">
        <is>
          <t>6</t>
        </is>
      </c>
      <c r="D205" s="15" t="inlineStr">
        <is>
          <t>PENINGKATAN KUALITAS PELAYANAN PUBLIK</t>
        </is>
      </c>
      <c r="E205" s="15" t="inlineStr">
        <is>
          <t>v</t>
        </is>
      </c>
      <c r="F205" s="15" t="inlineStr">
        <is>
          <t>Pemanfaatan Teknologi Informasi</t>
        </is>
      </c>
      <c r="G205" s="15" t="inlineStr">
        <is>
          <t>A.6.v.c</t>
        </is>
      </c>
      <c r="H205" s="15" t="inlineStr">
        <is>
          <t>Telah dilakukan perbaikan secara terus menerus</t>
        </is>
      </c>
      <c r="I205" s="15" t="inlineStr">
        <is>
          <t>A</t>
        </is>
      </c>
      <c r="J205" s="15" t="n">
        <v>1</v>
      </c>
      <c r="K205" s="49" t="n"/>
      <c r="L205" s="15" t="n"/>
      <c r="M205" s="15" t="inlineStr">
        <is>
          <t>—</t>
        </is>
      </c>
      <c r="N205" s="15" t="inlineStr">
        <is>
          <t>—</t>
        </is>
      </c>
      <c r="O205" s="15" t="inlineStr">
        <is>
          <t>—</t>
        </is>
      </c>
      <c r="P205" s="15" t="n"/>
      <c r="Q205" s="36" t="inlineStr">
        <is>
          <t>https://drive.google.com/drive/folders/1FfojIDWWX3PFPoqXmExjjsiZwlmHzlNW?usp=drive_link</t>
        </is>
      </c>
      <c r="R205" s="15" t="n">
        <v>121</v>
      </c>
    </row>
    <row r="206">
      <c r="A206" s="15" t="inlineStr">
        <is>
          <t>Kanwil BPN Provinsi Gorontalo</t>
        </is>
      </c>
      <c r="B206" s="15" t="inlineStr">
        <is>
          <t>PENGUNGKIT</t>
        </is>
      </c>
      <c r="C206" s="15" t="inlineStr">
        <is>
          <t>1</t>
        </is>
      </c>
      <c r="D206" s="15" t="inlineStr">
        <is>
          <t>MANAJEMEN PERUBAHAN</t>
        </is>
      </c>
      <c r="E206" s="15" t="inlineStr">
        <is>
          <t>i</t>
        </is>
      </c>
      <c r="F206" s="15" t="inlineStr">
        <is>
          <t>Komitmen dalam perubahan</t>
        </is>
      </c>
      <c r="G206" s="15" t="inlineStr">
        <is>
          <t>A.1.i.a</t>
        </is>
      </c>
      <c r="H206" s="15" t="inlineStr">
        <is>
          <t>Agen perubahan telah membuat perubahan yang konkret di Instansi (dalam 1 tahun)</t>
        </is>
      </c>
      <c r="I206" s="15" t="n">
        <v>1</v>
      </c>
      <c r="J206" s="15" t="n">
        <v>1</v>
      </c>
      <c r="K206" s="49" t="n"/>
      <c r="L206" s="15" t="n"/>
      <c r="M206" s="15" t="inlineStr">
        <is>
          <t>—</t>
        </is>
      </c>
      <c r="N206" s="15" t="inlineStr">
        <is>
          <t>—</t>
        </is>
      </c>
      <c r="O206" s="15" t="inlineStr">
        <is>
          <t>—</t>
        </is>
      </c>
      <c r="P206" s="15" t="n"/>
      <c r="Q206" s="36" t="inlineStr">
        <is>
          <t>https://drive.google.com/drive/folders/13vxcXMF32MMtwV4jeQV5zbQbVSnbIMjx?usp=drive_link</t>
        </is>
      </c>
      <c r="R206" s="15" t="n">
        <v>125</v>
      </c>
    </row>
    <row r="207">
      <c r="A207" s="15" t="inlineStr">
        <is>
          <t>Kanwil BPN Provinsi Gorontalo</t>
        </is>
      </c>
      <c r="B207" s="15" t="inlineStr">
        <is>
          <t>PENGUNGKIT</t>
        </is>
      </c>
      <c r="C207" s="15" t="inlineStr">
        <is>
          <t>1</t>
        </is>
      </c>
      <c r="D207" s="15" t="inlineStr">
        <is>
          <t>MANAJEMEN PERUBAHAN</t>
        </is>
      </c>
      <c r="E207" s="15" t="inlineStr">
        <is>
          <t>i</t>
        </is>
      </c>
      <c r="F207" s="15" t="inlineStr">
        <is>
          <t>Komitmen dalam perubahan</t>
        </is>
      </c>
      <c r="G207" s="15" t="inlineStr">
        <is>
          <t>A.1.i.b</t>
        </is>
      </c>
      <c r="H207" s="15" t="inlineStr">
        <is>
          <t>Perubahan yang dibuat Agen Perubahan telah terintegrasi dalam sistem manajemen</t>
        </is>
      </c>
      <c r="I207" s="15" t="n">
        <v>1</v>
      </c>
      <c r="J207" s="15" t="n">
        <v>1</v>
      </c>
      <c r="K207" s="49" t="n"/>
      <c r="L207" s="15" t="n"/>
      <c r="M207" s="15" t="inlineStr">
        <is>
          <t>—</t>
        </is>
      </c>
      <c r="N207" s="15" t="inlineStr">
        <is>
          <t>—</t>
        </is>
      </c>
      <c r="O207" s="15" t="inlineStr">
        <is>
          <t>—</t>
        </is>
      </c>
      <c r="P207" s="15" t="n"/>
      <c r="Q207" s="36" t="inlineStr">
        <is>
          <t>https://drive.google.com/drive/folders/12IUKN_T0ut_DwmdvjbEwpzlF9qAWG5cm?usp=drive_link</t>
        </is>
      </c>
      <c r="R207" s="15" t="n">
        <v>128</v>
      </c>
    </row>
    <row r="208">
      <c r="A208" s="15" t="inlineStr">
        <is>
          <t>Kanwil BPN Provinsi Gorontalo</t>
        </is>
      </c>
      <c r="B208" s="15" t="inlineStr">
        <is>
          <t>PENGUNGKIT</t>
        </is>
      </c>
      <c r="C208" s="15" t="inlineStr">
        <is>
          <t>1</t>
        </is>
      </c>
      <c r="D208" s="15" t="inlineStr">
        <is>
          <t>MANAJEMEN PERUBAHAN</t>
        </is>
      </c>
      <c r="E208" s="15" t="inlineStr">
        <is>
          <t>ii</t>
        </is>
      </c>
      <c r="F208" s="15" t="inlineStr">
        <is>
          <t>Komitmen Pimpinan</t>
        </is>
      </c>
      <c r="G208" s="15" t="inlineStr">
        <is>
          <t>A.1.ii.-</t>
        </is>
      </c>
      <c r="H208" s="15" t="inlineStr">
        <is>
          <t>Pimpinan memiliki komitmen terhadap pelaksanaan reformasi birokrasi, dengan adanya target capaian reformasi yang jelas di dokumen perencanaan</t>
        </is>
      </c>
      <c r="I208" s="15" t="inlineStr">
        <is>
          <t>D</t>
        </is>
      </c>
      <c r="J208" s="15" t="n">
        <v>0.25</v>
      </c>
      <c r="K208" s="49" t="n"/>
      <c r="L208" s="15" t="n"/>
      <c r="M208" s="15" t="inlineStr">
        <is>
          <t>—</t>
        </is>
      </c>
      <c r="N208" s="15" t="inlineStr">
        <is>
          <t>—</t>
        </is>
      </c>
      <c r="O208" s="15" t="inlineStr">
        <is>
          <t>—</t>
        </is>
      </c>
      <c r="P208" s="15" t="n"/>
      <c r="Q208" s="36" t="inlineStr">
        <is>
          <t>https://drive.google.com/drive/folders/1GY1zl6BZ6hPJGGXi1QSOA1EYyVj6fBss?usp=drive_link</t>
        </is>
      </c>
      <c r="R208" s="15" t="n">
        <v>132</v>
      </c>
    </row>
    <row r="209">
      <c r="A209" s="15" t="inlineStr">
        <is>
          <t>Kanwil BPN Provinsi Gorontalo</t>
        </is>
      </c>
      <c r="B209" s="15" t="inlineStr">
        <is>
          <t>PENGUNGKIT</t>
        </is>
      </c>
      <c r="C209" s="15" t="inlineStr">
        <is>
          <t>1</t>
        </is>
      </c>
      <c r="D209" s="15" t="inlineStr">
        <is>
          <t>MANAJEMEN PERUBAHAN</t>
        </is>
      </c>
      <c r="E209" s="15" t="inlineStr">
        <is>
          <t>iii</t>
        </is>
      </c>
      <c r="F209" s="15" t="inlineStr">
        <is>
          <t>Membangun Budaya Kerja</t>
        </is>
      </c>
      <c r="G209" s="15" t="inlineStr">
        <is>
          <t>A.1.iii.-</t>
        </is>
      </c>
      <c r="H209" s="15" t="inlineStr">
        <is>
          <t>Instansi membangun budaya kerja positif dan menerapkan nilai-nilai organisasi dalam pelaksanaan tugas sehari-hari</t>
        </is>
      </c>
      <c r="I209" s="15" t="inlineStr">
        <is>
          <t>A</t>
        </is>
      </c>
      <c r="J209" s="15" t="n">
        <v>1</v>
      </c>
      <c r="K209" s="49" t="n"/>
      <c r="L209" s="15" t="n"/>
      <c r="M209" s="15" t="inlineStr">
        <is>
          <t>—</t>
        </is>
      </c>
      <c r="N209" s="15" t="inlineStr">
        <is>
          <t>—</t>
        </is>
      </c>
      <c r="O209" s="15" t="inlineStr">
        <is>
          <t>—</t>
        </is>
      </c>
      <c r="P209" s="15" t="n"/>
      <c r="Q209" s="36" t="inlineStr">
        <is>
          <t>https://drive.google.com/drive/folders/1oSnNVZKpgM6cNy3zc63xeDMdRLqasHSE?usp=drive_link</t>
        </is>
      </c>
      <c r="R209" s="15" t="n">
        <v>134</v>
      </c>
    </row>
    <row r="210">
      <c r="A210" s="15" t="inlineStr">
        <is>
          <t>Kanwil BPN Provinsi Gorontalo</t>
        </is>
      </c>
      <c r="B210" s="15" t="inlineStr">
        <is>
          <t>PENGUNGKIT</t>
        </is>
      </c>
      <c r="C210" s="15" t="inlineStr">
        <is>
          <t>2</t>
        </is>
      </c>
      <c r="D210" s="15" t="inlineStr">
        <is>
          <t>PENATAAN TATALAKSANA</t>
        </is>
      </c>
      <c r="E210" s="15" t="inlineStr">
        <is>
          <t>i</t>
        </is>
      </c>
      <c r="F210" s="15" t="inlineStr">
        <is>
          <t>Peta Proses Bisnis Mempengaruhi Penyederhanaan Jabatan</t>
        </is>
      </c>
      <c r="G210" s="15" t="inlineStr">
        <is>
          <t>A.2.i.-</t>
        </is>
      </c>
      <c r="H210" s="15" t="inlineStr">
        <is>
          <t>Telah disusun peta proses bisnis dengan adanya penyederhanaan jabatan</t>
        </is>
      </c>
      <c r="I210" s="15" t="inlineStr">
        <is>
          <t>A</t>
        </is>
      </c>
      <c r="J210" s="15" t="n">
        <v>1</v>
      </c>
      <c r="K210" s="49" t="n"/>
      <c r="L210" s="15" t="n"/>
      <c r="M210" s="15" t="inlineStr">
        <is>
          <t>—</t>
        </is>
      </c>
      <c r="N210" s="15" t="inlineStr">
        <is>
          <t>—</t>
        </is>
      </c>
      <c r="O210" s="15" t="inlineStr">
        <is>
          <t>—</t>
        </is>
      </c>
      <c r="P210" s="15" t="n"/>
      <c r="Q210" s="36" t="inlineStr">
        <is>
          <t>https://drive.google.com/drive/folders/1GJh3UcJhpLcOtwkkEAW7yYNMgYKrvbNh?usp=drive_link</t>
        </is>
      </c>
      <c r="R210" s="15" t="n">
        <v>137</v>
      </c>
    </row>
    <row r="211">
      <c r="A211" s="15" t="inlineStr">
        <is>
          <t>Kanwil BPN Provinsi Gorontalo</t>
        </is>
      </c>
      <c r="B211" s="15" t="inlineStr">
        <is>
          <t>PENGUNGKIT</t>
        </is>
      </c>
      <c r="C211" s="15" t="inlineStr">
        <is>
          <t>2</t>
        </is>
      </c>
      <c r="D211" s="15" t="inlineStr">
        <is>
          <t>PENATAAN TATALAKSANA</t>
        </is>
      </c>
      <c r="E211" s="15" t="inlineStr">
        <is>
          <t>ii</t>
        </is>
      </c>
      <c r="F211" s="15" t="inlineStr">
        <is>
          <t>Sistem Pemerintahan Berbasis Elektronik (SPBE) yang Terintegrasi</t>
        </is>
      </c>
      <c r="G211" s="15" t="inlineStr">
        <is>
          <t>A.2.ii.a</t>
        </is>
      </c>
      <c r="H211" s="15" t="inlineStr">
        <is>
          <t>Implementasi SPBE telah terintegrasi dan mampu mendorong pelaksanaan pelayanan publik yang lebih cepat dan efisien</t>
        </is>
      </c>
      <c r="I211" s="15" t="inlineStr">
        <is>
          <t>B</t>
        </is>
      </c>
      <c r="J211" s="15" t="n">
        <v>0.5</v>
      </c>
      <c r="K211" s="49" t="n"/>
      <c r="L211" s="15" t="n"/>
      <c r="M211" s="15" t="inlineStr">
        <is>
          <t>—</t>
        </is>
      </c>
      <c r="N211" s="15" t="inlineStr">
        <is>
          <t>—</t>
        </is>
      </c>
      <c r="O211" s="15" t="inlineStr">
        <is>
          <t>—</t>
        </is>
      </c>
      <c r="P211" s="15" t="n"/>
      <c r="Q211" s="36" t="inlineStr">
        <is>
          <t>https://drive.google.com/drive/folders/1R1WTvl_QW_OnCkMePovMdyRSO1oeSm_x?usp=drive_link</t>
        </is>
      </c>
      <c r="R211" s="15" t="n">
        <v>139</v>
      </c>
    </row>
    <row r="212">
      <c r="A212" s="15" t="inlineStr">
        <is>
          <t>Kanwil BPN Provinsi Gorontalo</t>
        </is>
      </c>
      <c r="B212" s="15" t="inlineStr">
        <is>
          <t>PENGUNGKIT</t>
        </is>
      </c>
      <c r="C212" s="15" t="inlineStr">
        <is>
          <t>2</t>
        </is>
      </c>
      <c r="D212" s="15" t="inlineStr">
        <is>
          <t>PENATAAN TATALAKSANA</t>
        </is>
      </c>
      <c r="E212" s="15" t="inlineStr">
        <is>
          <t>ii</t>
        </is>
      </c>
      <c r="F212" s="15" t="inlineStr">
        <is>
          <t>Sistem Pemerintahan Berbasis Elektronik (SPBE) yang Terintegrasi</t>
        </is>
      </c>
      <c r="G212" s="15" t="inlineStr">
        <is>
          <t>A.2.ii.b</t>
        </is>
      </c>
      <c r="H212" s="15" t="inlineStr">
        <is>
          <t>Implementasi SPBE telah terintegrasi dan mampu mendorong pelaksanaan pelayanan internal organisasi yang lebih cepat dan efisien</t>
        </is>
      </c>
      <c r="I212" s="15" t="inlineStr">
        <is>
          <t>B</t>
        </is>
      </c>
      <c r="J212" s="15" t="n">
        <v>0.5</v>
      </c>
      <c r="K212" s="49" t="n"/>
      <c r="L212" s="15" t="n"/>
      <c r="M212" s="15" t="inlineStr">
        <is>
          <t>—</t>
        </is>
      </c>
      <c r="N212" s="15" t="inlineStr">
        <is>
          <t>—</t>
        </is>
      </c>
      <c r="O212" s="15" t="inlineStr">
        <is>
          <t>—</t>
        </is>
      </c>
      <c r="P212" s="15" t="n"/>
      <c r="Q212" s="36" t="inlineStr">
        <is>
          <t>https://drive.google.com/drive/folders/12QbnVREinYDmHO3Y8Awdf4uuXNfSKou3?usp=drive_link</t>
        </is>
      </c>
      <c r="R212" s="15" t="n">
        <v>140</v>
      </c>
    </row>
    <row r="213">
      <c r="A213" s="15" t="inlineStr">
        <is>
          <t>Kanwil BPN Provinsi Gorontalo</t>
        </is>
      </c>
      <c r="B213" s="15" t="inlineStr">
        <is>
          <t>PENGUNGKIT</t>
        </is>
      </c>
      <c r="C213" s="15" t="inlineStr">
        <is>
          <t>2</t>
        </is>
      </c>
      <c r="D213" s="15" t="inlineStr">
        <is>
          <t>PENATAAN TATALAKSANA</t>
        </is>
      </c>
      <c r="E213" s="15" t="inlineStr">
        <is>
          <t>iii</t>
        </is>
      </c>
      <c r="F213" s="15" t="inlineStr">
        <is>
          <t>Transformasi Digital Memberikan Nilai Manfaat</t>
        </is>
      </c>
      <c r="G213" s="15" t="inlineStr">
        <is>
          <t>A.2.iii.a</t>
        </is>
      </c>
      <c r="H213" s="15" t="inlineStr">
        <is>
          <t>Transformasi digital pada bidang proses bisnis utama telah mampu memberikan nilai manfaat bagi unit kerja secara optimal</t>
        </is>
      </c>
      <c r="I213" s="15" t="inlineStr">
        <is>
          <t>B</t>
        </is>
      </c>
      <c r="J213" s="15" t="n">
        <v>0.75</v>
      </c>
      <c r="K213" s="49" t="n"/>
      <c r="L213" s="15" t="n"/>
      <c r="M213" s="15" t="inlineStr">
        <is>
          <t>—</t>
        </is>
      </c>
      <c r="N213" s="15" t="inlineStr">
        <is>
          <t>—</t>
        </is>
      </c>
      <c r="O213" s="15" t="inlineStr">
        <is>
          <t>—</t>
        </is>
      </c>
      <c r="P213" s="15" t="n"/>
      <c r="Q213" s="36" t="inlineStr">
        <is>
          <t>https://drive.google.com/drive/folders/1QKBTnLbLMYsUXw-O79fAq5D56NJlaBs-?usp=drive_link</t>
        </is>
      </c>
      <c r="R213" s="15" t="n">
        <v>142</v>
      </c>
    </row>
    <row r="214">
      <c r="A214" s="15" t="inlineStr">
        <is>
          <t>Kanwil BPN Provinsi Gorontalo</t>
        </is>
      </c>
      <c r="B214" s="15" t="inlineStr">
        <is>
          <t>PENGUNGKIT</t>
        </is>
      </c>
      <c r="C214" s="15" t="inlineStr">
        <is>
          <t>2</t>
        </is>
      </c>
      <c r="D214" s="15" t="inlineStr">
        <is>
          <t>PENATAAN TATALAKSANA</t>
        </is>
      </c>
      <c r="E214" s="15" t="inlineStr">
        <is>
          <t>iii</t>
        </is>
      </c>
      <c r="F214" s="15" t="inlineStr">
        <is>
          <t>Transformasi Digital Memberikan Nilai Manfaat</t>
        </is>
      </c>
      <c r="G214" s="15" t="inlineStr">
        <is>
          <t>A.2.iii.b</t>
        </is>
      </c>
      <c r="H214" s="15" t="inlineStr">
        <is>
          <t>Transformasi digital pada bidang administrasi pemerintahan telah mampu memberikan nilai manfaat bagi unit kerja secara optimal</t>
        </is>
      </c>
      <c r="I214" s="15" t="inlineStr">
        <is>
          <t>B</t>
        </is>
      </c>
      <c r="J214" s="15" t="n">
        <v>0.75</v>
      </c>
      <c r="K214" s="49" t="n"/>
      <c r="L214" s="15" t="n"/>
      <c r="M214" s="15" t="inlineStr">
        <is>
          <t>—</t>
        </is>
      </c>
      <c r="N214" s="15" t="inlineStr">
        <is>
          <t>—</t>
        </is>
      </c>
      <c r="O214" s="15" t="inlineStr">
        <is>
          <t>—</t>
        </is>
      </c>
      <c r="P214" s="15" t="n"/>
      <c r="Q214" s="36" t="inlineStr">
        <is>
          <t>https://drive.google.com/drive/folders/1ISBj7RXkqc802HSo_y9eHQQJJLHut8sT?usp=drive_link</t>
        </is>
      </c>
      <c r="R214" s="15" t="n">
        <v>143</v>
      </c>
    </row>
    <row r="215">
      <c r="A215" s="15" t="inlineStr">
        <is>
          <t>Kanwil BPN Provinsi Gorontalo</t>
        </is>
      </c>
      <c r="B215" s="15" t="inlineStr">
        <is>
          <t>PENGUNGKIT</t>
        </is>
      </c>
      <c r="C215" s="15" t="inlineStr">
        <is>
          <t>2</t>
        </is>
      </c>
      <c r="D215" s="15" t="inlineStr">
        <is>
          <t>PENATAAN TATALAKSANA</t>
        </is>
      </c>
      <c r="E215" s="15" t="inlineStr">
        <is>
          <t>iii</t>
        </is>
      </c>
      <c r="F215" s="15" t="inlineStr">
        <is>
          <t>Transformasi Digital Memberikan Nilai Manfaat</t>
        </is>
      </c>
      <c r="G215" s="15" t="inlineStr">
        <is>
          <t>A.2.iii.c</t>
        </is>
      </c>
      <c r="H215" s="15" t="inlineStr">
        <is>
          <t>Transformasi digital pada bidang pelayanan publik telah mampu memberikan nilai manfaat bagi unit kerja secara optimal</t>
        </is>
      </c>
      <c r="I215" s="15" t="inlineStr">
        <is>
          <t>B</t>
        </is>
      </c>
      <c r="J215" s="15" t="n">
        <v>0.75</v>
      </c>
      <c r="K215" s="49" t="n"/>
      <c r="L215" s="15" t="n"/>
      <c r="M215" s="15" t="inlineStr">
        <is>
          <t>—</t>
        </is>
      </c>
      <c r="N215" s="15" t="inlineStr">
        <is>
          <t>—</t>
        </is>
      </c>
      <c r="O215" s="15" t="inlineStr">
        <is>
          <t>—</t>
        </is>
      </c>
      <c r="P215" s="15" t="n"/>
      <c r="Q215" s="36" t="inlineStr">
        <is>
          <t>https://drive.google.com/drive/folders/1_LDkNld9jVS0s25x3ME-LqA1yL48PW5S?usp=drive_link</t>
        </is>
      </c>
      <c r="R215" s="15" t="n">
        <v>144</v>
      </c>
    </row>
    <row r="216">
      <c r="A216" s="15" t="inlineStr">
        <is>
          <t>Kanwil BPN Provinsi Gorontalo</t>
        </is>
      </c>
      <c r="B216" s="15" t="inlineStr">
        <is>
          <t>PENGUNGKIT</t>
        </is>
      </c>
      <c r="C216" s="15" t="inlineStr">
        <is>
          <t>3</t>
        </is>
      </c>
      <c r="D216" s="15" t="inlineStr">
        <is>
          <t>PENATAAN SISTEM MANAJEMEN SDM APARATUR</t>
        </is>
      </c>
      <c r="E216" s="15" t="inlineStr">
        <is>
          <t>i</t>
        </is>
      </c>
      <c r="F216" s="15" t="inlineStr">
        <is>
          <t>Kinerja Individu</t>
        </is>
      </c>
      <c r="G216" s="15" t="inlineStr">
        <is>
          <t>A.3.i.a</t>
        </is>
      </c>
      <c r="H216" s="15" t="inlineStr">
        <is>
          <t>Ukuran kinerja individu telah berorientasi hasil (outcome) sesuai pada levelnya</t>
        </is>
      </c>
      <c r="I216" s="15" t="inlineStr">
        <is>
          <t>A</t>
        </is>
      </c>
      <c r="J216" s="15" t="n">
        <v>1</v>
      </c>
      <c r="K216" s="49" t="n"/>
      <c r="L216" s="15" t="n"/>
      <c r="M216" s="15" t="inlineStr">
        <is>
          <t>—</t>
        </is>
      </c>
      <c r="N216" s="15" t="inlineStr">
        <is>
          <t>—</t>
        </is>
      </c>
      <c r="O216" s="15" t="inlineStr">
        <is>
          <t>—</t>
        </is>
      </c>
      <c r="P216" s="15" t="n"/>
      <c r="Q216" s="36" t="inlineStr">
        <is>
          <t>https://drive.google.com/drive/folders/1G1noF9mGNjhbQgchFunjca1T8wRDA__y</t>
        </is>
      </c>
      <c r="R216" s="15" t="n">
        <v>147</v>
      </c>
    </row>
    <row r="217">
      <c r="A217" s="15" t="inlineStr">
        <is>
          <t>Kanwil BPN Provinsi Gorontalo</t>
        </is>
      </c>
      <c r="B217" s="15" t="inlineStr">
        <is>
          <t>PENGUNGKIT</t>
        </is>
      </c>
      <c r="C217" s="15" t="inlineStr">
        <is>
          <t>3</t>
        </is>
      </c>
      <c r="D217" s="15" t="inlineStr">
        <is>
          <t>PENATAAN SISTEM MANAJEMEN SDM APARATUR</t>
        </is>
      </c>
      <c r="E217" s="15" t="inlineStr">
        <is>
          <t>ii</t>
        </is>
      </c>
      <c r="F217" s="15" t="inlineStr">
        <is>
          <t>Assessment Pegawai</t>
        </is>
      </c>
      <c r="G217" s="15" t="inlineStr">
        <is>
          <t>A.3.ii.a</t>
        </is>
      </c>
      <c r="H217" s="15" t="inlineStr">
        <is>
          <t>Hasil assement telah dijadikan pertimbangan untuk mutasi dan pengembangan karir pegawai</t>
        </is>
      </c>
      <c r="I217" s="15" t="inlineStr">
        <is>
          <t>A</t>
        </is>
      </c>
      <c r="J217" s="15" t="n">
        <v>1</v>
      </c>
      <c r="K217" s="49" t="n"/>
      <c r="L217" s="15" t="n"/>
      <c r="M217" s="15" t="inlineStr">
        <is>
          <t>—</t>
        </is>
      </c>
      <c r="N217" s="15" t="inlineStr">
        <is>
          <t>—</t>
        </is>
      </c>
      <c r="O217" s="15" t="inlineStr">
        <is>
          <t>—</t>
        </is>
      </c>
      <c r="P217" s="15" t="n"/>
      <c r="Q217" s="36" t="inlineStr">
        <is>
          <t>https://drive.google.com/drive/folders/1Ya94CmPzUsyib4UvLIlO8BWQp-U5hM8h</t>
        </is>
      </c>
      <c r="R217" s="15" t="n">
        <v>149</v>
      </c>
    </row>
    <row r="218">
      <c r="A218" s="15" t="inlineStr">
        <is>
          <t>Kanwil BPN Provinsi Gorontalo</t>
        </is>
      </c>
      <c r="B218" s="15" t="inlineStr">
        <is>
          <t>PENGUNGKIT</t>
        </is>
      </c>
      <c r="C218" s="15" t="inlineStr">
        <is>
          <t>3</t>
        </is>
      </c>
      <c r="D218" s="15" t="inlineStr">
        <is>
          <t>PENATAAN SISTEM MANAJEMEN SDM APARATUR</t>
        </is>
      </c>
      <c r="E218" s="15" t="inlineStr">
        <is>
          <t>iii</t>
        </is>
      </c>
      <c r="F218" s="15" t="inlineStr">
        <is>
          <t>Pelanggaran Disiplin Pegawai</t>
        </is>
      </c>
      <c r="G218" s="15" t="inlineStr">
        <is>
          <t>A.3.iii.a</t>
        </is>
      </c>
      <c r="H218" s="15" t="inlineStr">
        <is>
          <t>Penurunan pelanggaran disiplin pegawai</t>
        </is>
      </c>
      <c r="I218" s="15" t="n">
        <v>1</v>
      </c>
      <c r="J218" s="15" t="n">
        <v>1</v>
      </c>
      <c r="K218" s="49" t="n"/>
      <c r="L218" s="15" t="n"/>
      <c r="M218" s="15" t="inlineStr">
        <is>
          <t>—</t>
        </is>
      </c>
      <c r="N218" s="15" t="inlineStr">
        <is>
          <t>—</t>
        </is>
      </c>
      <c r="O218" s="15" t="inlineStr">
        <is>
          <t>—</t>
        </is>
      </c>
      <c r="P218" s="15" t="n"/>
      <c r="Q218" s="36" t="inlineStr">
        <is>
          <t>https://drive.google.com/drive/folders/1mxaaBivrLX6lEs-EIGpnUPgraSewJ4gQ</t>
        </is>
      </c>
      <c r="R218" s="15" t="n">
        <v>151</v>
      </c>
    </row>
    <row r="219">
      <c r="A219" s="15" t="inlineStr">
        <is>
          <t>Kanwil BPN Provinsi Gorontalo</t>
        </is>
      </c>
      <c r="B219" s="15" t="inlineStr">
        <is>
          <t>PENGUNGKIT</t>
        </is>
      </c>
      <c r="C219" s="15" t="inlineStr">
        <is>
          <t>4</t>
        </is>
      </c>
      <c r="D219" s="15" t="inlineStr">
        <is>
          <t>PENGUATAN AKUNTABILITAS</t>
        </is>
      </c>
      <c r="E219" s="15" t="inlineStr">
        <is>
          <t>i</t>
        </is>
      </c>
      <c r="F219" s="15" t="inlineStr">
        <is>
          <t>Meningkatnya capaian kinerja unit kerja</t>
        </is>
      </c>
      <c r="G219" s="15" t="inlineStr">
        <is>
          <t>A.4.i.-</t>
        </is>
      </c>
      <c r="H219" s="15" t="inlineStr">
        <is>
          <t>Persentase Sasaran dengan capaian 100% atau lebih</t>
        </is>
      </c>
      <c r="I219" s="15" t="n">
        <v>1</v>
      </c>
      <c r="J219" s="15" t="n">
        <v>1</v>
      </c>
      <c r="K219" s="49" t="n"/>
      <c r="L219" s="15" t="n"/>
      <c r="M219" s="15" t="inlineStr">
        <is>
          <t>—</t>
        </is>
      </c>
      <c r="N219" s="15" t="inlineStr">
        <is>
          <t>—</t>
        </is>
      </c>
      <c r="O219" s="15" t="inlineStr">
        <is>
          <t>—</t>
        </is>
      </c>
      <c r="P219" s="15" t="n"/>
      <c r="Q219" s="36" t="inlineStr">
        <is>
          <t>https://drive.google.com/drive/folders/1trNpEbNthTRdWENsa_q_XVOkDnvcTRxb</t>
        </is>
      </c>
      <c r="R219" s="15" t="n">
        <v>157</v>
      </c>
    </row>
    <row r="220">
      <c r="A220" s="15" t="inlineStr">
        <is>
          <t>Kanwil BPN Provinsi Gorontalo</t>
        </is>
      </c>
      <c r="B220" s="15" t="inlineStr">
        <is>
          <t>PENGUNGKIT</t>
        </is>
      </c>
      <c r="C220" s="15" t="inlineStr">
        <is>
          <t>4</t>
        </is>
      </c>
      <c r="D220" s="15" t="inlineStr">
        <is>
          <t>PENGUATAN AKUNTABILITAS</t>
        </is>
      </c>
      <c r="E220" s="15" t="inlineStr">
        <is>
          <t>ii</t>
        </is>
      </c>
      <c r="F220" s="15" t="inlineStr">
        <is>
          <t>Pemberian Reward and Punishment</t>
        </is>
      </c>
      <c r="G220" s="15" t="inlineStr">
        <is>
          <t>A.4.ii.-</t>
        </is>
      </c>
      <c r="H220" s="15" t="inlineStr">
        <is>
          <t>Hasil Capaian/Monitoring Perjanjian Kinerja telah dijadikan dasar sebagai pemberian reward and punishment bagi organisasi</t>
        </is>
      </c>
      <c r="I220" s="15" t="inlineStr">
        <is>
          <t>B</t>
        </is>
      </c>
      <c r="J220" s="15" t="n">
        <v>0.67</v>
      </c>
      <c r="K220" s="49" t="n"/>
      <c r="L220" s="15" t="n"/>
      <c r="M220" s="15" t="inlineStr">
        <is>
          <t>—</t>
        </is>
      </c>
      <c r="N220" s="15" t="inlineStr">
        <is>
          <t>—</t>
        </is>
      </c>
      <c r="O220" s="15" t="inlineStr">
        <is>
          <t>—</t>
        </is>
      </c>
      <c r="P220" s="15" t="n"/>
      <c r="Q220" s="36" t="inlineStr">
        <is>
          <t>https://drive.google.com/drive/folders/1zxyvPF5EVRwlVCCDfz8muIrXPKQY6qo3</t>
        </is>
      </c>
      <c r="R220" s="15" t="n">
        <v>161</v>
      </c>
    </row>
    <row r="221">
      <c r="A221" s="15" t="inlineStr">
        <is>
          <t>Kanwil BPN Provinsi Gorontalo</t>
        </is>
      </c>
      <c r="B221" s="15" t="inlineStr">
        <is>
          <t>PENGUNGKIT</t>
        </is>
      </c>
      <c r="C221" s="15" t="inlineStr">
        <is>
          <t>4</t>
        </is>
      </c>
      <c r="D221" s="15" t="inlineStr">
        <is>
          <t>PENGUATAN AKUNTABILITAS</t>
        </is>
      </c>
      <c r="E221" s="15" t="inlineStr">
        <is>
          <t>iii</t>
        </is>
      </c>
      <c r="F221" s="15" t="inlineStr">
        <is>
          <t>Kerangka Logis Kinerja</t>
        </is>
      </c>
      <c r="G221" s="15" t="inlineStr">
        <is>
          <t>A.4.iii.-</t>
        </is>
      </c>
      <c r="H221" s="15" t="inlineStr">
        <is>
          <t>Apakah terdapat penjenjangan kinerja ((Kerangka Logis Kinerja) yang mengacu pada kinerja utama  organisasi dan dijadikan dalam penentuan kinerja seluruh pegawai?</t>
        </is>
      </c>
      <c r="I221" s="15" t="inlineStr">
        <is>
          <t>A</t>
        </is>
      </c>
      <c r="J221" s="15" t="n">
        <v>1</v>
      </c>
      <c r="K221" s="49" t="n"/>
      <c r="L221" s="15" t="n"/>
      <c r="M221" s="15" t="inlineStr">
        <is>
          <t>—</t>
        </is>
      </c>
      <c r="N221" s="15" t="inlineStr">
        <is>
          <t>—</t>
        </is>
      </c>
      <c r="O221" s="15" t="inlineStr">
        <is>
          <t>—</t>
        </is>
      </c>
      <c r="P221" s="15" t="n"/>
      <c r="Q221" s="36" t="inlineStr">
        <is>
          <t>https://drive.google.com/drive/folders/1_Ld6B-Rcu8fKITVYhoBWhCEY9Lt32h_S</t>
        </is>
      </c>
      <c r="R221" s="15" t="n">
        <v>163</v>
      </c>
    </row>
    <row r="222">
      <c r="A222" s="15" t="inlineStr">
        <is>
          <t>Kanwil BPN Provinsi Gorontalo</t>
        </is>
      </c>
      <c r="B222" s="15" t="inlineStr">
        <is>
          <t>PENGUNGKIT</t>
        </is>
      </c>
      <c r="C222" s="15" t="inlineStr">
        <is>
          <t>5</t>
        </is>
      </c>
      <c r="D222" s="15" t="inlineStr">
        <is>
          <t>PENGUATAN PENGAWASAN</t>
        </is>
      </c>
      <c r="E222" s="15" t="inlineStr">
        <is>
          <t>i</t>
        </is>
      </c>
      <c r="F222" s="15" t="inlineStr">
        <is>
          <t>Mekanisme Pengendalian</t>
        </is>
      </c>
      <c r="G222" s="15" t="inlineStr">
        <is>
          <t>A.5.i.-</t>
        </is>
      </c>
      <c r="H222" s="15" t="inlineStr">
        <is>
          <t>Telah dilakukan mekanisme pengendalian aktivitas secara berjenjang</t>
        </is>
      </c>
      <c r="I222" s="15" t="inlineStr">
        <is>
          <t>A</t>
        </is>
      </c>
      <c r="J222" s="15" t="n">
        <v>1</v>
      </c>
      <c r="K222" s="49" t="n"/>
      <c r="L222" s="15" t="n"/>
      <c r="M222" s="15" t="inlineStr">
        <is>
          <t>—</t>
        </is>
      </c>
      <c r="N222" s="15" t="inlineStr">
        <is>
          <t>—</t>
        </is>
      </c>
      <c r="O222" s="15" t="inlineStr">
        <is>
          <t>—</t>
        </is>
      </c>
      <c r="P222" s="15" t="n"/>
      <c r="Q222" s="36" t="inlineStr">
        <is>
          <t>https://drive.google.com/drive/folders/1T-sg2Y5-VZRFBjuJXt6gvKKwwp-7j5X_?usp=drive_link</t>
        </is>
      </c>
      <c r="R222" s="15" t="n">
        <v>166</v>
      </c>
    </row>
    <row r="223">
      <c r="A223" s="15" t="inlineStr">
        <is>
          <t>Kanwil BPN Provinsi Gorontalo</t>
        </is>
      </c>
      <c r="B223" s="15" t="inlineStr">
        <is>
          <t>PENGUNGKIT</t>
        </is>
      </c>
      <c r="C223" s="15" t="inlineStr">
        <is>
          <t>5</t>
        </is>
      </c>
      <c r="D223" s="15" t="inlineStr">
        <is>
          <t>PENGUATAN PENGAWASAN</t>
        </is>
      </c>
      <c r="E223" s="15" t="inlineStr">
        <is>
          <t>ii</t>
        </is>
      </c>
      <c r="F223" s="15" t="inlineStr">
        <is>
          <t>Penanganan Pengaduan Masyarakat</t>
        </is>
      </c>
      <c r="G223" s="15" t="inlineStr">
        <is>
          <t>A.5.ii.-</t>
        </is>
      </c>
      <c r="H223" s="15" t="inlineStr">
        <is>
          <t>Persentase penanganan pengaduan masyarakat</t>
        </is>
      </c>
      <c r="I223" s="15" t="n">
        <v>1</v>
      </c>
      <c r="J223" s="15" t="n">
        <v>1</v>
      </c>
      <c r="K223" s="49" t="n"/>
      <c r="L223" s="15" t="n"/>
      <c r="M223" s="15" t="inlineStr">
        <is>
          <t>—</t>
        </is>
      </c>
      <c r="N223" s="15" t="inlineStr">
        <is>
          <t>—</t>
        </is>
      </c>
      <c r="O223" s="15" t="inlineStr">
        <is>
          <t>—</t>
        </is>
      </c>
      <c r="P223" s="15" t="n"/>
      <c r="Q223" s="36" t="inlineStr">
        <is>
          <t>https://drive.google.com/drive/folders/1y-WoYm_CLLAEyN6dZKh4C4ltcv1A9XgD?usp=drive_link</t>
        </is>
      </c>
      <c r="R223" s="15" t="n">
        <v>168</v>
      </c>
    </row>
    <row r="224">
      <c r="A224" s="15" t="inlineStr">
        <is>
          <t>Kanwil BPN Provinsi Gorontalo</t>
        </is>
      </c>
      <c r="B224" s="15" t="inlineStr">
        <is>
          <t>PENGUNGKIT</t>
        </is>
      </c>
      <c r="C224" s="15" t="inlineStr">
        <is>
          <t>5</t>
        </is>
      </c>
      <c r="D224" s="15" t="inlineStr">
        <is>
          <t>PENGUATAN PENGAWASAN</t>
        </is>
      </c>
      <c r="E224" s="15" t="inlineStr">
        <is>
          <t>iii</t>
        </is>
      </c>
      <c r="F224" s="15" t="inlineStr">
        <is>
          <t>Penyampaian Laporan Harta Kekayaan</t>
        </is>
      </c>
      <c r="G224" s="15" t="inlineStr">
        <is>
          <t>A.5.iii.-</t>
        </is>
      </c>
      <c r="H224" s="15" t="inlineStr">
        <is>
          <t>Persentase penyampaian LHKPN</t>
        </is>
      </c>
      <c r="I224" s="15" t="n">
        <v>1</v>
      </c>
      <c r="J224" s="15" t="n">
        <v>1</v>
      </c>
      <c r="K224" s="49" t="n"/>
      <c r="L224" s="15" t="n"/>
      <c r="M224" s="15" t="inlineStr">
        <is>
          <t>—</t>
        </is>
      </c>
      <c r="N224" s="15" t="inlineStr">
        <is>
          <t>—</t>
        </is>
      </c>
      <c r="O224" s="15" t="inlineStr">
        <is>
          <t>—</t>
        </is>
      </c>
      <c r="P224" s="15" t="n"/>
      <c r="Q224" s="15" t="n"/>
      <c r="R224" s="15" t="n">
        <v>174</v>
      </c>
    </row>
    <row r="225">
      <c r="A225" s="15" t="inlineStr">
        <is>
          <t>Kanwil BPN Provinsi Gorontalo</t>
        </is>
      </c>
      <c r="B225" s="15" t="inlineStr">
        <is>
          <t>PENGUNGKIT</t>
        </is>
      </c>
      <c r="C225" s="15" t="inlineStr">
        <is>
          <t>5</t>
        </is>
      </c>
      <c r="D225" s="15" t="inlineStr">
        <is>
          <t>PENGUATAN PENGAWASAN</t>
        </is>
      </c>
      <c r="E225" s="15" t="inlineStr">
        <is>
          <t>iii</t>
        </is>
      </c>
      <c r="F225" s="15" t="inlineStr">
        <is>
          <t>Penyampaian Laporan Harta Kekayaan</t>
        </is>
      </c>
      <c r="G225" s="15" t="inlineStr">
        <is>
          <t>A.5.iii.-</t>
        </is>
      </c>
      <c r="H225" s="15" t="inlineStr">
        <is>
          <t>Jumlah yang harus melaporkan</t>
        </is>
      </c>
      <c r="I225" s="15" t="n">
        <v>4</v>
      </c>
      <c r="J225" s="15" t="n"/>
      <c r="K225" s="49" t="n"/>
      <c r="L225" s="15" t="n"/>
      <c r="M225" s="15" t="inlineStr">
        <is>
          <t>—</t>
        </is>
      </c>
      <c r="N225" s="15" t="inlineStr">
        <is>
          <t>—</t>
        </is>
      </c>
      <c r="O225" s="15" t="inlineStr">
        <is>
          <t>—</t>
        </is>
      </c>
      <c r="P225" s="15" t="n"/>
      <c r="Q225" s="15" t="n"/>
      <c r="R225" s="15" t="n">
        <v>175</v>
      </c>
    </row>
    <row r="226">
      <c r="A226" s="15" t="inlineStr">
        <is>
          <t>Kanwil BPN Provinsi Gorontalo</t>
        </is>
      </c>
      <c r="B226" s="15" t="inlineStr">
        <is>
          <t>PENGUNGKIT</t>
        </is>
      </c>
      <c r="C226" s="15" t="inlineStr">
        <is>
          <t>5</t>
        </is>
      </c>
      <c r="D226" s="15" t="inlineStr">
        <is>
          <t>PENGUATAN PENGAWASAN</t>
        </is>
      </c>
      <c r="E226" s="15" t="inlineStr">
        <is>
          <t>iii</t>
        </is>
      </c>
      <c r="F226" s="15" t="inlineStr">
        <is>
          <t>Penyampaian Laporan Harta Kekayaan</t>
        </is>
      </c>
      <c r="G226" s="15" t="inlineStr">
        <is>
          <t>A.5.iii.-</t>
        </is>
      </c>
      <c r="H226" s="15" t="inlineStr">
        <is>
          <t>Jumlah yang sudah melaporkan</t>
        </is>
      </c>
      <c r="I226" s="15" t="n">
        <v>4</v>
      </c>
      <c r="J226" s="15" t="n"/>
      <c r="K226" s="49" t="n"/>
      <c r="L226" s="15" t="n"/>
      <c r="M226" s="15" t="inlineStr">
        <is>
          <t>—</t>
        </is>
      </c>
      <c r="N226" s="15" t="inlineStr">
        <is>
          <t>—</t>
        </is>
      </c>
      <c r="O226" s="15" t="inlineStr">
        <is>
          <t>—</t>
        </is>
      </c>
      <c r="P226" s="15" t="n"/>
      <c r="Q226" s="15" t="n"/>
      <c r="R226" s="15" t="n">
        <v>179</v>
      </c>
    </row>
    <row r="227">
      <c r="A227" s="15" t="inlineStr">
        <is>
          <t>Kanwil BPN Provinsi Gorontalo</t>
        </is>
      </c>
      <c r="B227" s="15" t="inlineStr">
        <is>
          <t>PENGUNGKIT</t>
        </is>
      </c>
      <c r="C227" s="15" t="inlineStr">
        <is>
          <t>5</t>
        </is>
      </c>
      <c r="D227" s="15" t="inlineStr">
        <is>
          <t>PENGUATAN PENGAWASAN</t>
        </is>
      </c>
      <c r="E227" s="15" t="inlineStr">
        <is>
          <t>iii</t>
        </is>
      </c>
      <c r="F227" s="15" t="inlineStr">
        <is>
          <t>Penyampaian Laporan Harta Kekayaan</t>
        </is>
      </c>
      <c r="G227" s="15" t="inlineStr">
        <is>
          <t>A.5.iii.-</t>
        </is>
      </c>
      <c r="H227" s="15" t="inlineStr">
        <is>
          <t>Persentase penyampaian Non LHKPN</t>
        </is>
      </c>
      <c r="I227" s="15" t="n">
        <v>1</v>
      </c>
      <c r="J227" s="15" t="n">
        <v>1</v>
      </c>
      <c r="K227" s="49" t="n"/>
      <c r="L227" s="15" t="n"/>
      <c r="M227" s="15" t="inlineStr">
        <is>
          <t>—</t>
        </is>
      </c>
      <c r="N227" s="15" t="inlineStr">
        <is>
          <t>—</t>
        </is>
      </c>
      <c r="O227" s="15" t="inlineStr">
        <is>
          <t>—</t>
        </is>
      </c>
      <c r="P227" s="15" t="n"/>
      <c r="Q227" s="15" t="n"/>
      <c r="R227" s="15" t="n">
        <v>181</v>
      </c>
    </row>
    <row r="228">
      <c r="A228" s="15" t="inlineStr">
        <is>
          <t>Kanwil BPN Provinsi Gorontalo</t>
        </is>
      </c>
      <c r="B228" s="15" t="inlineStr">
        <is>
          <t>PENGUNGKIT</t>
        </is>
      </c>
      <c r="C228" s="15" t="inlineStr">
        <is>
          <t>5</t>
        </is>
      </c>
      <c r="D228" s="15" t="inlineStr">
        <is>
          <t>PENGUATAN PENGAWASAN</t>
        </is>
      </c>
      <c r="E228" s="15" t="inlineStr">
        <is>
          <t>iii</t>
        </is>
      </c>
      <c r="F228" s="15" t="inlineStr">
        <is>
          <t>Penyampaian Laporan Harta Kekayaan</t>
        </is>
      </c>
      <c r="G228" s="15" t="inlineStr">
        <is>
          <t>A.5.iii.-</t>
        </is>
      </c>
      <c r="H228" s="15" t="inlineStr">
        <is>
          <t>Jumlah yang harus melaporkan (tidak wajib LHKPN)</t>
        </is>
      </c>
      <c r="I228" s="15" t="n">
        <v>45</v>
      </c>
      <c r="J228" s="15" t="n"/>
      <c r="K228" s="49" t="n"/>
      <c r="L228" s="15" t="n"/>
      <c r="M228" s="15" t="inlineStr">
        <is>
          <t>—</t>
        </is>
      </c>
      <c r="N228" s="15" t="inlineStr">
        <is>
          <t>—</t>
        </is>
      </c>
      <c r="O228" s="15" t="inlineStr">
        <is>
          <t>—</t>
        </is>
      </c>
      <c r="P228" s="15" t="n"/>
      <c r="Q228" s="15" t="n"/>
      <c r="R228" s="15" t="n">
        <v>182</v>
      </c>
    </row>
    <row r="229">
      <c r="A229" s="15" t="inlineStr">
        <is>
          <t>Kanwil BPN Provinsi Gorontalo</t>
        </is>
      </c>
      <c r="B229" s="15" t="inlineStr">
        <is>
          <t>PENGUNGKIT</t>
        </is>
      </c>
      <c r="C229" s="15" t="inlineStr">
        <is>
          <t>5</t>
        </is>
      </c>
      <c r="D229" s="15" t="inlineStr">
        <is>
          <t>PENGUATAN PENGAWASAN</t>
        </is>
      </c>
      <c r="E229" s="15" t="inlineStr">
        <is>
          <t>iii</t>
        </is>
      </c>
      <c r="F229" s="15" t="inlineStr">
        <is>
          <t>Penyampaian Laporan Harta Kekayaan</t>
        </is>
      </c>
      <c r="G229" s="15" t="inlineStr">
        <is>
          <t>A.5.iii.-</t>
        </is>
      </c>
      <c r="H229" s="15" t="inlineStr">
        <is>
          <t>Jumlah yang sudah melaporkan</t>
        </is>
      </c>
      <c r="I229" s="15" t="n">
        <v>45</v>
      </c>
      <c r="J229" s="15" t="n"/>
      <c r="K229" s="49" t="n"/>
      <c r="L229" s="15" t="n"/>
      <c r="M229" s="15" t="inlineStr">
        <is>
          <t>—</t>
        </is>
      </c>
      <c r="N229" s="15" t="inlineStr">
        <is>
          <t>—</t>
        </is>
      </c>
      <c r="O229" s="15" t="inlineStr">
        <is>
          <t>—</t>
        </is>
      </c>
      <c r="P229" s="15" t="n"/>
      <c r="Q229" s="15" t="n"/>
      <c r="R229" s="15" t="n">
        <v>186</v>
      </c>
    </row>
    <row r="230">
      <c r="A230" s="15" t="inlineStr">
        <is>
          <t>Kanwil BPN Provinsi Gorontalo</t>
        </is>
      </c>
      <c r="B230" s="15" t="inlineStr">
        <is>
          <t>PENGUNGKIT</t>
        </is>
      </c>
      <c r="C230" s="15" t="inlineStr">
        <is>
          <t>6</t>
        </is>
      </c>
      <c r="D230" s="15" t="inlineStr">
        <is>
          <t>PENINGKATAN KUALITAS PELAYANAN PUBLIK</t>
        </is>
      </c>
      <c r="E230" s="15" t="inlineStr">
        <is>
          <t>i</t>
        </is>
      </c>
      <c r="F230" s="15" t="inlineStr">
        <is>
          <t>Upaya dan/atau Inovasi Pelayanan Publik</t>
        </is>
      </c>
      <c r="G230" s="15" t="inlineStr">
        <is>
          <t>A.6.i.a</t>
        </is>
      </c>
      <c r="H230" s="15" t="inlineStr">
        <is>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is>
      </c>
      <c r="I230" s="15" t="inlineStr">
        <is>
          <t>A</t>
        </is>
      </c>
      <c r="J230" s="15" t="n">
        <v>1</v>
      </c>
      <c r="K230" s="49" t="n"/>
      <c r="L230" s="15" t="n"/>
      <c r="M230" s="15" t="inlineStr">
        <is>
          <t>—</t>
        </is>
      </c>
      <c r="N230" s="15" t="inlineStr">
        <is>
          <t>—</t>
        </is>
      </c>
      <c r="O230" s="15" t="inlineStr">
        <is>
          <t>—</t>
        </is>
      </c>
      <c r="P230" s="15" t="n"/>
      <c r="Q230" s="36" t="inlineStr">
        <is>
          <t>https://drive.google.com/drive/folders/13WiUplbLkgFIBTCQrxzLoqSO-l_hTs0w?usp=drive_link</t>
        </is>
      </c>
      <c r="R230" s="15" t="n">
        <v>189</v>
      </c>
    </row>
    <row r="231">
      <c r="A231" s="15" t="inlineStr">
        <is>
          <t>Kanwil BPN Provinsi Gorontalo</t>
        </is>
      </c>
      <c r="B231" s="15" t="inlineStr">
        <is>
          <t>PENGUNGKIT</t>
        </is>
      </c>
      <c r="C231" s="15" t="inlineStr">
        <is>
          <t>6</t>
        </is>
      </c>
      <c r="D231" s="15" t="inlineStr">
        <is>
          <t>PENINGKATAN KUALITAS PELAYANAN PUBLIK</t>
        </is>
      </c>
      <c r="E231" s="15" t="inlineStr">
        <is>
          <t>i</t>
        </is>
      </c>
      <c r="F231" s="15" t="inlineStr">
        <is>
          <t>Upaya dan/atau Inovasi Pelayanan Publik</t>
        </is>
      </c>
      <c r="G231" s="15" t="inlineStr">
        <is>
          <t>A.6.i.b</t>
        </is>
      </c>
      <c r="H231" s="15" t="inlineStr">
        <is>
          <t>Upaya dan/atau inovasi pada perijinan/pelayanan telah dipermudah:
1. Waktu lebih cepat
2. Pelayanan Publik yang terpadu
3. Alur lebih pendek/singkat
4 Terintegrasi dengan aplikasi</t>
        </is>
      </c>
      <c r="I231" s="15" t="n">
        <v>1</v>
      </c>
      <c r="J231" s="15" t="n">
        <v>1</v>
      </c>
      <c r="K231" s="49" t="n"/>
      <c r="L231" s="15" t="n"/>
      <c r="M231" s="15" t="inlineStr">
        <is>
          <t>—</t>
        </is>
      </c>
      <c r="N231" s="15" t="inlineStr">
        <is>
          <t>—</t>
        </is>
      </c>
      <c r="O231" s="15" t="inlineStr">
        <is>
          <t>—</t>
        </is>
      </c>
      <c r="P231" s="15" t="n"/>
      <c r="Q231" s="36" t="inlineStr">
        <is>
          <t>https://drive.google.com/drive/folders/1cJNPHudtxYGBeFhUG8dlrUlfLfoaSCPi?usp=drive_link</t>
        </is>
      </c>
      <c r="R231" s="15" t="n">
        <v>190</v>
      </c>
    </row>
    <row r="232">
      <c r="A232" s="15" t="inlineStr">
        <is>
          <t>Kanwil BPN Provinsi Gorontalo</t>
        </is>
      </c>
      <c r="B232" s="15" t="inlineStr">
        <is>
          <t>PENGUNGKIT</t>
        </is>
      </c>
      <c r="C232" s="15" t="inlineStr">
        <is>
          <t>6</t>
        </is>
      </c>
      <c r="D232" s="15" t="inlineStr">
        <is>
          <t>PENINGKATAN KUALITAS PELAYANAN PUBLIK</t>
        </is>
      </c>
      <c r="E232" s="15" t="inlineStr">
        <is>
          <t>ii</t>
        </is>
      </c>
      <c r="F232" s="15" t="inlineStr">
        <is>
          <t>Penanganan Pengaduan Pelayanan dan Konsultasi</t>
        </is>
      </c>
      <c r="G232" s="15" t="inlineStr">
        <is>
          <t>A.6.ii.-</t>
        </is>
      </c>
      <c r="H232" s="15" t="inlineStr">
        <is>
          <t>Penanganan pengaduan pelayanan dilakukan melalui berbagai kanal/media secara responsive dan bertanggung jawab</t>
        </is>
      </c>
      <c r="I232" s="15" t="inlineStr">
        <is>
          <t>A</t>
        </is>
      </c>
      <c r="J232" s="15" t="n">
        <v>1</v>
      </c>
      <c r="K232" s="49" t="n"/>
      <c r="L232" s="15" t="n"/>
      <c r="M232" s="15" t="inlineStr">
        <is>
          <t>—</t>
        </is>
      </c>
      <c r="N232" s="15" t="inlineStr">
        <is>
          <t>—</t>
        </is>
      </c>
      <c r="O232" s="15" t="inlineStr">
        <is>
          <t>—</t>
        </is>
      </c>
      <c r="P232" s="15" t="n"/>
      <c r="Q232" s="36" t="inlineStr">
        <is>
          <t>https://drive.google.com/drive/folders/1xMvTASElNu6s1W5uDzq2tgtpAcN_Vmo1?usp=drive_link</t>
        </is>
      </c>
      <c r="R232" s="15" t="n">
        <v>194</v>
      </c>
    </row>
    <row r="233">
      <c r="A233" s="15" t="inlineStr">
        <is>
          <t>Kanwil BPN Provinsi Gorontalo</t>
        </is>
      </c>
      <c r="B233" s="15" t="inlineStr">
        <is>
          <t>HASIL</t>
        </is>
      </c>
      <c r="C233" s="15" t="inlineStr">
        <is>
          <t>I</t>
        </is>
      </c>
      <c r="D233" s="15" t="inlineStr">
        <is>
          <t>BIROKRASI YANG BERSIH DAN AKUNTABEL</t>
        </is>
      </c>
      <c r="E233" s="15" t="inlineStr"/>
      <c r="F233" s="15" t="inlineStr"/>
      <c r="G233" s="15" t="inlineStr">
        <is>
          <t>B.I.a</t>
        </is>
      </c>
      <c r="H233" s="15" t="inlineStr">
        <is>
          <t>Nilai Survey Persepsi Korupsi (Survei Eksternal)</t>
        </is>
      </c>
      <c r="I233" s="15" t="n">
        <v>3.96</v>
      </c>
      <c r="J233" s="15" t="n">
        <v>17.325</v>
      </c>
      <c r="K233" s="49" t="n"/>
      <c r="L233" s="15" t="n"/>
      <c r="M233" s="15" t="inlineStr">
        <is>
          <t>—</t>
        </is>
      </c>
      <c r="N233" s="15" t="inlineStr">
        <is>
          <t>—</t>
        </is>
      </c>
      <c r="O233" s="15" t="inlineStr">
        <is>
          <t>—</t>
        </is>
      </c>
      <c r="P233" s="15" t="n"/>
      <c r="Q233" s="36" t="inlineStr">
        <is>
          <t xml:space="preserve">https://drive.google.com/drive/u/1/folders/1HbtDCJrWDmvWI1en_LoZmglEEWI50IE_ </t>
        </is>
      </c>
      <c r="R233" s="15" t="n">
        <v>199</v>
      </c>
    </row>
    <row r="234">
      <c r="A234" s="15" t="inlineStr">
        <is>
          <t>Kanwil BPN Provinsi Gorontalo</t>
        </is>
      </c>
      <c r="B234" s="15" t="inlineStr">
        <is>
          <t>HASIL</t>
        </is>
      </c>
      <c r="C234" s="15" t="inlineStr">
        <is>
          <t>I</t>
        </is>
      </c>
      <c r="D234" s="15" t="inlineStr">
        <is>
          <t>BIROKRASI YANG BERSIH DAN AKUNTABEL</t>
        </is>
      </c>
      <c r="E234" s="15" t="inlineStr"/>
      <c r="F234" s="15" t="inlineStr"/>
      <c r="G234" s="15" t="inlineStr">
        <is>
          <t>B.I.b</t>
        </is>
      </c>
      <c r="H234" s="15" t="inlineStr">
        <is>
          <t>Capaian Kinerja Lebih Baik dari pada Capaian Kinerja Sebelumnya</t>
        </is>
      </c>
      <c r="I234" s="15" t="inlineStr">
        <is>
          <t>A</t>
        </is>
      </c>
      <c r="J234" s="15" t="n">
        <v>5</v>
      </c>
      <c r="K234" s="49" t="n"/>
      <c r="L234" s="15" t="n"/>
      <c r="M234" s="15" t="inlineStr">
        <is>
          <t>—</t>
        </is>
      </c>
      <c r="N234" s="15" t="inlineStr">
        <is>
          <t>—</t>
        </is>
      </c>
      <c r="O234" s="15" t="inlineStr">
        <is>
          <t>—</t>
        </is>
      </c>
      <c r="P234" s="15" t="n"/>
      <c r="Q234" s="36" t="inlineStr">
        <is>
          <t xml:space="preserve">https://drive.google.com/drive/folders/1dOvozLi0L1PbbQaEqRawTnMrVW5MpYgv </t>
        </is>
      </c>
      <c r="R234" s="15" t="n">
        <v>200</v>
      </c>
    </row>
    <row r="235">
      <c r="A235" s="15" t="inlineStr">
        <is>
          <t>Kanwil BPN Provinsi Gorontalo</t>
        </is>
      </c>
      <c r="B235" s="15" t="inlineStr">
        <is>
          <t>HASIL</t>
        </is>
      </c>
      <c r="C235" s="15" t="inlineStr">
        <is>
          <t>II</t>
        </is>
      </c>
      <c r="D235" s="15" t="inlineStr">
        <is>
          <t>PELAYANAN PUBLIK YANG PRIMA</t>
        </is>
      </c>
      <c r="E235" s="15" t="inlineStr"/>
      <c r="F235" s="15" t="inlineStr"/>
      <c r="G235" s="15" t="inlineStr">
        <is>
          <t>B.II.-</t>
        </is>
      </c>
      <c r="H235" s="15" t="inlineStr">
        <is>
          <t>Nilai Persepsi Kualitas Pelayanan (Survei Eksternal)</t>
        </is>
      </c>
      <c r="I235" s="15" t="n">
        <v>3.96</v>
      </c>
      <c r="J235" s="15" t="n">
        <v>17.325</v>
      </c>
      <c r="K235" s="49" t="n"/>
      <c r="L235" s="15" t="n"/>
      <c r="M235" s="15" t="inlineStr">
        <is>
          <t>—</t>
        </is>
      </c>
      <c r="N235" s="15" t="inlineStr">
        <is>
          <t>—</t>
        </is>
      </c>
      <c r="O235" s="15" t="inlineStr">
        <is>
          <t>—</t>
        </is>
      </c>
      <c r="P235" s="15" t="n"/>
      <c r="Q235" s="36" t="inlineStr">
        <is>
          <t xml:space="preserve">https://drive.google.com/drive/u/1/folders/1S6r9ogd_um0N7aHk9vNhgIq5uhvR7RrV </t>
        </is>
      </c>
      <c r="R235" s="15" t="n">
        <v>202</v>
      </c>
    </row>
  </sheetData>
  <autoFilter ref="A1:R235"/>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30" r:id="rId28"/>
    <hyperlink xmlns:r="http://schemas.openxmlformats.org/officeDocument/2006/relationships" ref="Q31" r:id="rId29"/>
    <hyperlink xmlns:r="http://schemas.openxmlformats.org/officeDocument/2006/relationships" ref="Q32" r:id="rId30"/>
    <hyperlink xmlns:r="http://schemas.openxmlformats.org/officeDocument/2006/relationships" ref="Q33" r:id="rId31"/>
    <hyperlink xmlns:r="http://schemas.openxmlformats.org/officeDocument/2006/relationships" ref="Q34" r:id="rId32"/>
    <hyperlink xmlns:r="http://schemas.openxmlformats.org/officeDocument/2006/relationships" ref="Q35" r:id="rId33"/>
    <hyperlink xmlns:r="http://schemas.openxmlformats.org/officeDocument/2006/relationships" ref="Q36" r:id="rId34"/>
    <hyperlink xmlns:r="http://schemas.openxmlformats.org/officeDocument/2006/relationships" ref="Q37" r:id="rId35"/>
    <hyperlink xmlns:r="http://schemas.openxmlformats.org/officeDocument/2006/relationships" ref="Q38" r:id="rId36"/>
    <hyperlink xmlns:r="http://schemas.openxmlformats.org/officeDocument/2006/relationships" ref="Q39" r:id="rId37"/>
    <hyperlink xmlns:r="http://schemas.openxmlformats.org/officeDocument/2006/relationships" ref="Q40" r:id="rId38"/>
    <hyperlink xmlns:r="http://schemas.openxmlformats.org/officeDocument/2006/relationships" ref="Q41" r:id="rId39"/>
    <hyperlink xmlns:r="http://schemas.openxmlformats.org/officeDocument/2006/relationships" ref="Q42" r:id="rId40"/>
    <hyperlink xmlns:r="http://schemas.openxmlformats.org/officeDocument/2006/relationships" ref="Q43" r:id="rId41"/>
    <hyperlink xmlns:r="http://schemas.openxmlformats.org/officeDocument/2006/relationships" ref="Q44" r:id="rId42"/>
    <hyperlink xmlns:r="http://schemas.openxmlformats.org/officeDocument/2006/relationships" ref="Q45" r:id="rId43"/>
    <hyperlink xmlns:r="http://schemas.openxmlformats.org/officeDocument/2006/relationships" ref="Q46" r:id="rId44"/>
    <hyperlink xmlns:r="http://schemas.openxmlformats.org/officeDocument/2006/relationships" ref="Q47" r:id="rId45"/>
    <hyperlink xmlns:r="http://schemas.openxmlformats.org/officeDocument/2006/relationships" ref="Q48" r:id="rId46"/>
    <hyperlink xmlns:r="http://schemas.openxmlformats.org/officeDocument/2006/relationships" ref="Q49"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Q56" r:id="rId54"/>
    <hyperlink xmlns:r="http://schemas.openxmlformats.org/officeDocument/2006/relationships" ref="Q57" r:id="rId55"/>
    <hyperlink xmlns:r="http://schemas.openxmlformats.org/officeDocument/2006/relationships" ref="Q58" r:id="rId56"/>
    <hyperlink xmlns:r="http://schemas.openxmlformats.org/officeDocument/2006/relationships" ref="Q59" r:id="rId57"/>
    <hyperlink xmlns:r="http://schemas.openxmlformats.org/officeDocument/2006/relationships" ref="Q60" r:id="rId58"/>
    <hyperlink xmlns:r="http://schemas.openxmlformats.org/officeDocument/2006/relationships" ref="Q61" r:id="rId59"/>
    <hyperlink xmlns:r="http://schemas.openxmlformats.org/officeDocument/2006/relationships" ref="Q62" r:id="rId60"/>
    <hyperlink xmlns:r="http://schemas.openxmlformats.org/officeDocument/2006/relationships" ref="Q63" r:id="rId61"/>
    <hyperlink xmlns:r="http://schemas.openxmlformats.org/officeDocument/2006/relationships" ref="Q64" r:id="rId62"/>
    <hyperlink xmlns:r="http://schemas.openxmlformats.org/officeDocument/2006/relationships" ref="Q65" r:id="rId63"/>
    <hyperlink xmlns:r="http://schemas.openxmlformats.org/officeDocument/2006/relationships" ref="Q66" r:id="rId64"/>
    <hyperlink xmlns:r="http://schemas.openxmlformats.org/officeDocument/2006/relationships" ref="Q67" r:id="rId65"/>
    <hyperlink xmlns:r="http://schemas.openxmlformats.org/officeDocument/2006/relationships" ref="Q68" r:id="rId66"/>
    <hyperlink xmlns:r="http://schemas.openxmlformats.org/officeDocument/2006/relationships" ref="Q69" r:id="rId67"/>
    <hyperlink xmlns:r="http://schemas.openxmlformats.org/officeDocument/2006/relationships" ref="Q70" r:id="rId68"/>
    <hyperlink xmlns:r="http://schemas.openxmlformats.org/officeDocument/2006/relationships" ref="Q71" r:id="rId69"/>
    <hyperlink xmlns:r="http://schemas.openxmlformats.org/officeDocument/2006/relationships" ref="Q72" r:id="rId70"/>
    <hyperlink xmlns:r="http://schemas.openxmlformats.org/officeDocument/2006/relationships" ref="Q73" r:id="rId71"/>
    <hyperlink xmlns:r="http://schemas.openxmlformats.org/officeDocument/2006/relationships" ref="Q74" r:id="rId72"/>
    <hyperlink xmlns:r="http://schemas.openxmlformats.org/officeDocument/2006/relationships" ref="Q75" r:id="rId73"/>
    <hyperlink xmlns:r="http://schemas.openxmlformats.org/officeDocument/2006/relationships" ref="Q76" r:id="rId74"/>
    <hyperlink xmlns:r="http://schemas.openxmlformats.org/officeDocument/2006/relationships" ref="Q77" r:id="rId75"/>
    <hyperlink xmlns:r="http://schemas.openxmlformats.org/officeDocument/2006/relationships" ref="Q78" r:id="rId76"/>
    <hyperlink xmlns:r="http://schemas.openxmlformats.org/officeDocument/2006/relationships" ref="Q79" r:id="rId77"/>
    <hyperlink xmlns:r="http://schemas.openxmlformats.org/officeDocument/2006/relationships" ref="Q80" r:id="rId78"/>
    <hyperlink xmlns:r="http://schemas.openxmlformats.org/officeDocument/2006/relationships" ref="Q81" r:id="rId79"/>
    <hyperlink xmlns:r="http://schemas.openxmlformats.org/officeDocument/2006/relationships" ref="Q82" r:id="rId80"/>
    <hyperlink xmlns:r="http://schemas.openxmlformats.org/officeDocument/2006/relationships" ref="Q83" r:id="rId81"/>
    <hyperlink xmlns:r="http://schemas.openxmlformats.org/officeDocument/2006/relationships" ref="Q84" r:id="rId82"/>
    <hyperlink xmlns:r="http://schemas.openxmlformats.org/officeDocument/2006/relationships" ref="Q85" r:id="rId83"/>
    <hyperlink xmlns:r="http://schemas.openxmlformats.org/officeDocument/2006/relationships" ref="Q86" r:id="rId84"/>
    <hyperlink xmlns:r="http://schemas.openxmlformats.org/officeDocument/2006/relationships" ref="Q87" r:id="rId85"/>
    <hyperlink xmlns:r="http://schemas.openxmlformats.org/officeDocument/2006/relationships" ref="Q88" r:id="rId86"/>
    <hyperlink xmlns:r="http://schemas.openxmlformats.org/officeDocument/2006/relationships" ref="Q89" r:id="rId87"/>
    <hyperlink xmlns:r="http://schemas.openxmlformats.org/officeDocument/2006/relationships" ref="Q90" r:id="rId88"/>
    <hyperlink xmlns:r="http://schemas.openxmlformats.org/officeDocument/2006/relationships" ref="Q91" r:id="rId89"/>
    <hyperlink xmlns:r="http://schemas.openxmlformats.org/officeDocument/2006/relationships" ref="Q92" r:id="rId90"/>
    <hyperlink xmlns:r="http://schemas.openxmlformats.org/officeDocument/2006/relationships" ref="Q93" r:id="rId91"/>
    <hyperlink xmlns:r="http://schemas.openxmlformats.org/officeDocument/2006/relationships" ref="Q94" r:id="rId92"/>
    <hyperlink xmlns:r="http://schemas.openxmlformats.org/officeDocument/2006/relationships" ref="Q95" r:id="rId93"/>
    <hyperlink xmlns:r="http://schemas.openxmlformats.org/officeDocument/2006/relationships" ref="Q96" r:id="rId94"/>
    <hyperlink xmlns:r="http://schemas.openxmlformats.org/officeDocument/2006/relationships" ref="Q97" r:id="rId95"/>
    <hyperlink xmlns:r="http://schemas.openxmlformats.org/officeDocument/2006/relationships" ref="Q98" r:id="rId96"/>
    <hyperlink xmlns:r="http://schemas.openxmlformats.org/officeDocument/2006/relationships" ref="Q99" r:id="rId97"/>
    <hyperlink xmlns:r="http://schemas.openxmlformats.org/officeDocument/2006/relationships" ref="Q100" r:id="rId98"/>
    <hyperlink xmlns:r="http://schemas.openxmlformats.org/officeDocument/2006/relationships" ref="Q101" r:id="rId99"/>
    <hyperlink xmlns:r="http://schemas.openxmlformats.org/officeDocument/2006/relationships" ref="Q102" r:id="rId100"/>
    <hyperlink xmlns:r="http://schemas.openxmlformats.org/officeDocument/2006/relationships" ref="Q103" r:id="rId101"/>
    <hyperlink xmlns:r="http://schemas.openxmlformats.org/officeDocument/2006/relationships" ref="Q104" r:id="rId102"/>
    <hyperlink xmlns:r="http://schemas.openxmlformats.org/officeDocument/2006/relationships" ref="Q105" r:id="rId103"/>
    <hyperlink xmlns:r="http://schemas.openxmlformats.org/officeDocument/2006/relationships" ref="Q106" r:id="rId104"/>
    <hyperlink xmlns:r="http://schemas.openxmlformats.org/officeDocument/2006/relationships" ref="Q113" r:id="rId105"/>
    <hyperlink xmlns:r="http://schemas.openxmlformats.org/officeDocument/2006/relationships" ref="Q114" r:id="rId106"/>
    <hyperlink xmlns:r="http://schemas.openxmlformats.org/officeDocument/2006/relationships" ref="Q115" r:id="rId107"/>
    <hyperlink xmlns:r="http://schemas.openxmlformats.org/officeDocument/2006/relationships" ref="Q119" r:id="rId108"/>
    <hyperlink xmlns:r="http://schemas.openxmlformats.org/officeDocument/2006/relationships" ref="Q120" r:id="rId109"/>
    <hyperlink xmlns:r="http://schemas.openxmlformats.org/officeDocument/2006/relationships" ref="Q121" r:id="rId110"/>
    <hyperlink xmlns:r="http://schemas.openxmlformats.org/officeDocument/2006/relationships" ref="Q122" r:id="rId111"/>
    <hyperlink xmlns:r="http://schemas.openxmlformats.org/officeDocument/2006/relationships" ref="Q123" r:id="rId112"/>
    <hyperlink xmlns:r="http://schemas.openxmlformats.org/officeDocument/2006/relationships" ref="Q124" r:id="rId113"/>
    <hyperlink xmlns:r="http://schemas.openxmlformats.org/officeDocument/2006/relationships" ref="Q125" r:id="rId114"/>
    <hyperlink xmlns:r="http://schemas.openxmlformats.org/officeDocument/2006/relationships" ref="Q126" r:id="rId115"/>
    <hyperlink xmlns:r="http://schemas.openxmlformats.org/officeDocument/2006/relationships" ref="Q127" r:id="rId116"/>
    <hyperlink xmlns:r="http://schemas.openxmlformats.org/officeDocument/2006/relationships" ref="Q128" r:id="rId117"/>
    <hyperlink xmlns:r="http://schemas.openxmlformats.org/officeDocument/2006/relationships" ref="Q129" r:id="rId118"/>
    <hyperlink xmlns:r="http://schemas.openxmlformats.org/officeDocument/2006/relationships" ref="Q130" r:id="rId119"/>
    <hyperlink xmlns:r="http://schemas.openxmlformats.org/officeDocument/2006/relationships" ref="Q131" r:id="rId120"/>
    <hyperlink xmlns:r="http://schemas.openxmlformats.org/officeDocument/2006/relationships" ref="Q132" r:id="rId121"/>
    <hyperlink xmlns:r="http://schemas.openxmlformats.org/officeDocument/2006/relationships" ref="Q133" r:id="rId122"/>
    <hyperlink xmlns:r="http://schemas.openxmlformats.org/officeDocument/2006/relationships" ref="Q134" r:id="rId123"/>
    <hyperlink xmlns:r="http://schemas.openxmlformats.org/officeDocument/2006/relationships" ref="Q135" r:id="rId124"/>
    <hyperlink xmlns:r="http://schemas.openxmlformats.org/officeDocument/2006/relationships" ref="Q136" r:id="rId125"/>
    <hyperlink xmlns:r="http://schemas.openxmlformats.org/officeDocument/2006/relationships" ref="Q137" r:id="rId126"/>
    <hyperlink xmlns:r="http://schemas.openxmlformats.org/officeDocument/2006/relationships" ref="Q138" r:id="rId127"/>
    <hyperlink xmlns:r="http://schemas.openxmlformats.org/officeDocument/2006/relationships" ref="Q139" r:id="rId128"/>
    <hyperlink xmlns:r="http://schemas.openxmlformats.org/officeDocument/2006/relationships" ref="Q140" r:id="rId129"/>
    <hyperlink xmlns:r="http://schemas.openxmlformats.org/officeDocument/2006/relationships" ref="Q141" r:id="rId130"/>
    <hyperlink xmlns:r="http://schemas.openxmlformats.org/officeDocument/2006/relationships" ref="Q142" r:id="rId131"/>
    <hyperlink xmlns:r="http://schemas.openxmlformats.org/officeDocument/2006/relationships" ref="Q143" r:id="rId132"/>
    <hyperlink xmlns:r="http://schemas.openxmlformats.org/officeDocument/2006/relationships" ref="Q144" r:id="rId133"/>
    <hyperlink xmlns:r="http://schemas.openxmlformats.org/officeDocument/2006/relationships" ref="Q145" r:id="rId134"/>
    <hyperlink xmlns:r="http://schemas.openxmlformats.org/officeDocument/2006/relationships" ref="Q146" r:id="rId135"/>
    <hyperlink xmlns:r="http://schemas.openxmlformats.org/officeDocument/2006/relationships" ref="Q147" r:id="rId136"/>
    <hyperlink xmlns:r="http://schemas.openxmlformats.org/officeDocument/2006/relationships" ref="Q148" r:id="rId137"/>
    <hyperlink xmlns:r="http://schemas.openxmlformats.org/officeDocument/2006/relationships" ref="Q149" r:id="rId138"/>
    <hyperlink xmlns:r="http://schemas.openxmlformats.org/officeDocument/2006/relationships" ref="Q150" r:id="rId139"/>
    <hyperlink xmlns:r="http://schemas.openxmlformats.org/officeDocument/2006/relationships" ref="Q151" r:id="rId140"/>
    <hyperlink xmlns:r="http://schemas.openxmlformats.org/officeDocument/2006/relationships" ref="Q152" r:id="rId141"/>
    <hyperlink xmlns:r="http://schemas.openxmlformats.org/officeDocument/2006/relationships" ref="Q153" r:id="rId142"/>
    <hyperlink xmlns:r="http://schemas.openxmlformats.org/officeDocument/2006/relationships" ref="Q154" r:id="rId143"/>
    <hyperlink xmlns:r="http://schemas.openxmlformats.org/officeDocument/2006/relationships" ref="Q155" r:id="rId144"/>
    <hyperlink xmlns:r="http://schemas.openxmlformats.org/officeDocument/2006/relationships" ref="Q156" r:id="rId145"/>
    <hyperlink xmlns:r="http://schemas.openxmlformats.org/officeDocument/2006/relationships" ref="Q157" r:id="rId146"/>
    <hyperlink xmlns:r="http://schemas.openxmlformats.org/officeDocument/2006/relationships" ref="Q158" r:id="rId147"/>
    <hyperlink xmlns:r="http://schemas.openxmlformats.org/officeDocument/2006/relationships" ref="Q159" r:id="rId148"/>
    <hyperlink xmlns:r="http://schemas.openxmlformats.org/officeDocument/2006/relationships" ref="Q160" r:id="rId149"/>
    <hyperlink xmlns:r="http://schemas.openxmlformats.org/officeDocument/2006/relationships" ref="Q161" r:id="rId150"/>
    <hyperlink xmlns:r="http://schemas.openxmlformats.org/officeDocument/2006/relationships" ref="Q162" r:id="rId151"/>
    <hyperlink xmlns:r="http://schemas.openxmlformats.org/officeDocument/2006/relationships" ref="Q163" r:id="rId152"/>
    <hyperlink xmlns:r="http://schemas.openxmlformats.org/officeDocument/2006/relationships" ref="Q164" r:id="rId153"/>
    <hyperlink xmlns:r="http://schemas.openxmlformats.org/officeDocument/2006/relationships" ref="Q165" r:id="rId154"/>
    <hyperlink xmlns:r="http://schemas.openxmlformats.org/officeDocument/2006/relationships" ref="Q166" r:id="rId155"/>
    <hyperlink xmlns:r="http://schemas.openxmlformats.org/officeDocument/2006/relationships" ref="Q167" r:id="rId156"/>
    <hyperlink xmlns:r="http://schemas.openxmlformats.org/officeDocument/2006/relationships" ref="Q168" r:id="rId157"/>
    <hyperlink xmlns:r="http://schemas.openxmlformats.org/officeDocument/2006/relationships" ref="Q169" r:id="rId158"/>
    <hyperlink xmlns:r="http://schemas.openxmlformats.org/officeDocument/2006/relationships" ref="Q170" r:id="rId159"/>
    <hyperlink xmlns:r="http://schemas.openxmlformats.org/officeDocument/2006/relationships" ref="Q171" r:id="rId160"/>
    <hyperlink xmlns:r="http://schemas.openxmlformats.org/officeDocument/2006/relationships" ref="Q172" r:id="rId161"/>
    <hyperlink xmlns:r="http://schemas.openxmlformats.org/officeDocument/2006/relationships" ref="Q173" r:id="rId162"/>
    <hyperlink xmlns:r="http://schemas.openxmlformats.org/officeDocument/2006/relationships" ref="Q174" r:id="rId163"/>
    <hyperlink xmlns:r="http://schemas.openxmlformats.org/officeDocument/2006/relationships" ref="Q175" r:id="rId164"/>
    <hyperlink xmlns:r="http://schemas.openxmlformats.org/officeDocument/2006/relationships" ref="Q176" r:id="rId165"/>
    <hyperlink xmlns:r="http://schemas.openxmlformats.org/officeDocument/2006/relationships" ref="Q177" r:id="rId166"/>
    <hyperlink xmlns:r="http://schemas.openxmlformats.org/officeDocument/2006/relationships" ref="Q178" r:id="rId167"/>
    <hyperlink xmlns:r="http://schemas.openxmlformats.org/officeDocument/2006/relationships" ref="Q179" r:id="rId168"/>
    <hyperlink xmlns:r="http://schemas.openxmlformats.org/officeDocument/2006/relationships" ref="Q180" r:id="rId169"/>
    <hyperlink xmlns:r="http://schemas.openxmlformats.org/officeDocument/2006/relationships" ref="Q181" r:id="rId170"/>
    <hyperlink xmlns:r="http://schemas.openxmlformats.org/officeDocument/2006/relationships" ref="Q182" r:id="rId171"/>
    <hyperlink xmlns:r="http://schemas.openxmlformats.org/officeDocument/2006/relationships" ref="Q183" r:id="rId172"/>
    <hyperlink xmlns:r="http://schemas.openxmlformats.org/officeDocument/2006/relationships" ref="Q184" r:id="rId173"/>
    <hyperlink xmlns:r="http://schemas.openxmlformats.org/officeDocument/2006/relationships" ref="Q185" r:id="rId174"/>
    <hyperlink xmlns:r="http://schemas.openxmlformats.org/officeDocument/2006/relationships" ref="Q186" r:id="rId175"/>
    <hyperlink xmlns:r="http://schemas.openxmlformats.org/officeDocument/2006/relationships" ref="Q187" r:id="rId176"/>
    <hyperlink xmlns:r="http://schemas.openxmlformats.org/officeDocument/2006/relationships" ref="Q188" r:id="rId177"/>
    <hyperlink xmlns:r="http://schemas.openxmlformats.org/officeDocument/2006/relationships" ref="Q189" r:id="rId178"/>
    <hyperlink xmlns:r="http://schemas.openxmlformats.org/officeDocument/2006/relationships" ref="Q190" r:id="rId179"/>
    <hyperlink xmlns:r="http://schemas.openxmlformats.org/officeDocument/2006/relationships" ref="Q191" r:id="rId180"/>
    <hyperlink xmlns:r="http://schemas.openxmlformats.org/officeDocument/2006/relationships" ref="Q192" r:id="rId181"/>
    <hyperlink xmlns:r="http://schemas.openxmlformats.org/officeDocument/2006/relationships" ref="Q193" r:id="rId182"/>
    <hyperlink xmlns:r="http://schemas.openxmlformats.org/officeDocument/2006/relationships" ref="Q194" r:id="rId183"/>
    <hyperlink xmlns:r="http://schemas.openxmlformats.org/officeDocument/2006/relationships" ref="Q195" r:id="rId184"/>
    <hyperlink xmlns:r="http://schemas.openxmlformats.org/officeDocument/2006/relationships" ref="Q196" r:id="rId185"/>
    <hyperlink xmlns:r="http://schemas.openxmlformats.org/officeDocument/2006/relationships" ref="Q197" r:id="rId186"/>
    <hyperlink xmlns:r="http://schemas.openxmlformats.org/officeDocument/2006/relationships" ref="Q198" r:id="rId187"/>
    <hyperlink xmlns:r="http://schemas.openxmlformats.org/officeDocument/2006/relationships" ref="Q199" r:id="rId188"/>
    <hyperlink xmlns:r="http://schemas.openxmlformats.org/officeDocument/2006/relationships" ref="Q200" r:id="rId189"/>
    <hyperlink xmlns:r="http://schemas.openxmlformats.org/officeDocument/2006/relationships" ref="Q201" r:id="rId190"/>
    <hyperlink xmlns:r="http://schemas.openxmlformats.org/officeDocument/2006/relationships" ref="Q202" r:id="rId191"/>
    <hyperlink xmlns:r="http://schemas.openxmlformats.org/officeDocument/2006/relationships" ref="Q203" r:id="rId192"/>
    <hyperlink xmlns:r="http://schemas.openxmlformats.org/officeDocument/2006/relationships" ref="Q204" r:id="rId193"/>
    <hyperlink xmlns:r="http://schemas.openxmlformats.org/officeDocument/2006/relationships" ref="Q205" r:id="rId194"/>
    <hyperlink xmlns:r="http://schemas.openxmlformats.org/officeDocument/2006/relationships" ref="Q206" r:id="rId195"/>
    <hyperlink xmlns:r="http://schemas.openxmlformats.org/officeDocument/2006/relationships" ref="Q207" r:id="rId196"/>
    <hyperlink xmlns:r="http://schemas.openxmlformats.org/officeDocument/2006/relationships" ref="Q208" r:id="rId197"/>
    <hyperlink xmlns:r="http://schemas.openxmlformats.org/officeDocument/2006/relationships" ref="Q209" r:id="rId198"/>
    <hyperlink xmlns:r="http://schemas.openxmlformats.org/officeDocument/2006/relationships" ref="Q210" r:id="rId199"/>
    <hyperlink xmlns:r="http://schemas.openxmlformats.org/officeDocument/2006/relationships" ref="Q211" r:id="rId200"/>
    <hyperlink xmlns:r="http://schemas.openxmlformats.org/officeDocument/2006/relationships" ref="Q212" r:id="rId201"/>
    <hyperlink xmlns:r="http://schemas.openxmlformats.org/officeDocument/2006/relationships" ref="Q213" r:id="rId202"/>
    <hyperlink xmlns:r="http://schemas.openxmlformats.org/officeDocument/2006/relationships" ref="Q214" r:id="rId203"/>
    <hyperlink xmlns:r="http://schemas.openxmlformats.org/officeDocument/2006/relationships" ref="Q215" r:id="rId204"/>
    <hyperlink xmlns:r="http://schemas.openxmlformats.org/officeDocument/2006/relationships" ref="Q216" r:id="rId205"/>
    <hyperlink xmlns:r="http://schemas.openxmlformats.org/officeDocument/2006/relationships" ref="Q217" r:id="rId206"/>
    <hyperlink xmlns:r="http://schemas.openxmlformats.org/officeDocument/2006/relationships" ref="Q218" r:id="rId207"/>
    <hyperlink xmlns:r="http://schemas.openxmlformats.org/officeDocument/2006/relationships" ref="Q219" r:id="rId208"/>
    <hyperlink xmlns:r="http://schemas.openxmlformats.org/officeDocument/2006/relationships" ref="Q220" r:id="rId209"/>
    <hyperlink xmlns:r="http://schemas.openxmlformats.org/officeDocument/2006/relationships" ref="Q221" r:id="rId210"/>
    <hyperlink xmlns:r="http://schemas.openxmlformats.org/officeDocument/2006/relationships" ref="Q222" r:id="rId211"/>
    <hyperlink xmlns:r="http://schemas.openxmlformats.org/officeDocument/2006/relationships" ref="Q223" r:id="rId212"/>
    <hyperlink xmlns:r="http://schemas.openxmlformats.org/officeDocument/2006/relationships" ref="Q230" r:id="rId213"/>
    <hyperlink xmlns:r="http://schemas.openxmlformats.org/officeDocument/2006/relationships" ref="Q231" r:id="rId214"/>
    <hyperlink xmlns:r="http://schemas.openxmlformats.org/officeDocument/2006/relationships" ref="Q232" r:id="rId215"/>
    <hyperlink xmlns:r="http://schemas.openxmlformats.org/officeDocument/2006/relationships" ref="Q233" r:id="rId216"/>
    <hyperlink xmlns:r="http://schemas.openxmlformats.org/officeDocument/2006/relationships" ref="Q234" r:id="rId217"/>
    <hyperlink xmlns:r="http://schemas.openxmlformats.org/officeDocument/2006/relationships" ref="Q235" r:id="rId2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Satker</t>
        </is>
      </c>
      <c r="B1" t="inlineStr">
        <is>
          <t>Komponen</t>
        </is>
      </c>
      <c r="D1" t="inlineStr">
        <is>
          <t>Komponen Pengungkit</t>
        </is>
      </c>
    </row>
    <row r="2">
      <c r="A2" t="inlineStr">
        <is>
          <t>Kantah Kabupaten Gorontalo</t>
        </is>
      </c>
      <c r="B2" t="inlineStr">
        <is>
          <t>MANAJEMEN PERUBAHAN</t>
        </is>
      </c>
      <c r="D2" t="inlineStr">
        <is>
          <t>MANAJEMEN PERUBAHAN</t>
        </is>
      </c>
    </row>
    <row r="3">
      <c r="A3" t="inlineStr">
        <is>
          <t>Kanwil BPN Provinsi Gorontalo</t>
        </is>
      </c>
      <c r="B3" t="inlineStr">
        <is>
          <t>PENATAAN TATALAKSANA</t>
        </is>
      </c>
      <c r="D3" t="inlineStr">
        <is>
          <t>PENATAAN TATALAKSANA</t>
        </is>
      </c>
    </row>
    <row r="4">
      <c r="B4" t="inlineStr">
        <is>
          <t>PENATAAN SISTEM MANAJEMEN SDM APARATUR</t>
        </is>
      </c>
      <c r="D4" t="inlineStr">
        <is>
          <t>PENATAAN SISTEM MANAJEMEN SDM APARATUR</t>
        </is>
      </c>
    </row>
    <row r="5">
      <c r="B5" t="inlineStr">
        <is>
          <t>PENGUATAN AKUNTABILITAS</t>
        </is>
      </c>
      <c r="D5" t="inlineStr">
        <is>
          <t>PENGUATAN AKUNTABILITAS</t>
        </is>
      </c>
    </row>
    <row r="6">
      <c r="B6" t="inlineStr">
        <is>
          <t>PENGUATAN PENGAWASAN</t>
        </is>
      </c>
      <c r="D6" t="inlineStr">
        <is>
          <t>PENGUATAN PENGAWASAN</t>
        </is>
      </c>
    </row>
    <row r="7">
      <c r="B7" t="inlineStr">
        <is>
          <t>PENINGKATAN KUALITAS PELAYANAN PUBLIK</t>
        </is>
      </c>
      <c r="D7" t="inlineStr">
        <is>
          <t>PENINGKATAN KUALITAS PELAYANAN PUBLIK</t>
        </is>
      </c>
    </row>
    <row r="8">
      <c r="B8" t="inlineStr">
        <is>
          <t>BIROKRASI YANG BERSIH DAN AKUNTABEL</t>
        </is>
      </c>
    </row>
    <row r="9">
      <c r="B9" t="inlineStr">
        <is>
          <t>PELAYANAN PUBLIK YANG PRIMA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37" t="inlineStr">
        <is>
          <t>Satker</t>
        </is>
      </c>
      <c r="B1" s="37" t="inlineStr">
        <is>
          <t>Section</t>
        </is>
      </c>
      <c r="C1" s="37" t="inlineStr">
        <is>
          <t>No</t>
        </is>
      </c>
      <c r="D1" s="37" t="inlineStr">
        <is>
          <t>Komponen</t>
        </is>
      </c>
      <c r="E1" s="37" t="inlineStr">
        <is>
          <t>Bobot</t>
        </is>
      </c>
      <c r="F1" s="37" t="inlineStr">
        <is>
          <t>Nilai</t>
        </is>
      </c>
      <c r="G1" s="37" t="inlineStr">
        <is>
          <t>Pct</t>
        </is>
      </c>
    </row>
    <row r="2">
      <c r="A2" t="inlineStr">
        <is>
          <t>Kantah Kabupaten Gorontalo</t>
        </is>
      </c>
      <c r="B2" t="inlineStr">
        <is>
          <t>PENGUNGKIT</t>
        </is>
      </c>
      <c r="C2" t="inlineStr">
        <is>
          <t>1</t>
        </is>
      </c>
      <c r="D2" t="inlineStr">
        <is>
          <t>MANAJEMEN PERUBAHAN</t>
        </is>
      </c>
      <c r="E2" t="n">
        <v>8</v>
      </c>
      <c r="F2" t="n">
        <v>6.132916666666667</v>
      </c>
      <c r="G2" t="n">
        <v>0.7666145833333333</v>
      </c>
    </row>
    <row r="3">
      <c r="A3" t="inlineStr">
        <is>
          <t>Kantah Kabupaten Gorontalo</t>
        </is>
      </c>
      <c r="B3" t="inlineStr">
        <is>
          <t>PENGUNGKIT</t>
        </is>
      </c>
      <c r="C3" t="inlineStr">
        <is>
          <t>2</t>
        </is>
      </c>
      <c r="D3" t="inlineStr">
        <is>
          <t>PENATAAN TATALAKSANA</t>
        </is>
      </c>
      <c r="E3" t="n">
        <v>7</v>
      </c>
      <c r="F3" t="n">
        <v>4.68</v>
      </c>
      <c r="G3" t="n">
        <v>0.6685714285714285</v>
      </c>
    </row>
    <row r="4">
      <c r="A4" t="inlineStr">
        <is>
          <t>Kantah Kabupaten Gorontalo</t>
        </is>
      </c>
      <c r="B4" t="inlineStr">
        <is>
          <t>PENGUNGKIT</t>
        </is>
      </c>
      <c r="C4" t="inlineStr">
        <is>
          <t>3</t>
        </is>
      </c>
      <c r="D4" t="inlineStr">
        <is>
          <t>PENATAAN SISTEM MANAJEMEN SDM APARATUR</t>
        </is>
      </c>
      <c r="E4" t="n">
        <v>10</v>
      </c>
      <c r="F4" t="n">
        <v>6.03625</v>
      </c>
      <c r="G4" t="n">
        <v>0.603625</v>
      </c>
    </row>
    <row r="5">
      <c r="A5" t="inlineStr">
        <is>
          <t>Kantah Kabupaten Gorontalo</t>
        </is>
      </c>
      <c r="B5" t="inlineStr">
        <is>
          <t>PENGUNGKIT</t>
        </is>
      </c>
      <c r="C5" t="inlineStr">
        <is>
          <t>4</t>
        </is>
      </c>
      <c r="D5" t="inlineStr">
        <is>
          <t>PENGUATAN AKUNTABILITAS</t>
        </is>
      </c>
      <c r="E5" t="n">
        <v>10</v>
      </c>
      <c r="F5" t="n">
        <v>9.348749999999999</v>
      </c>
      <c r="G5" t="n">
        <v>0.9348749999999999</v>
      </c>
    </row>
    <row r="6">
      <c r="A6" t="inlineStr">
        <is>
          <t>Kantah Kabupaten Gorontalo</t>
        </is>
      </c>
      <c r="B6" t="inlineStr">
        <is>
          <t>PENGUNGKIT</t>
        </is>
      </c>
      <c r="C6" t="inlineStr">
        <is>
          <t>5</t>
        </is>
      </c>
      <c r="D6" t="inlineStr">
        <is>
          <t>PENGUATAN PENGAWASAN</t>
        </is>
      </c>
      <c r="E6" t="n">
        <v>15</v>
      </c>
      <c r="F6" t="n">
        <v>10.088</v>
      </c>
      <c r="G6" t="n">
        <v>0.6725333333333334</v>
      </c>
    </row>
    <row r="7">
      <c r="A7" t="inlineStr">
        <is>
          <t>Kantah Kabupaten Gorontalo</t>
        </is>
      </c>
      <c r="B7" t="inlineStr">
        <is>
          <t>PENGUNGKIT</t>
        </is>
      </c>
      <c r="C7" t="inlineStr">
        <is>
          <t>6</t>
        </is>
      </c>
      <c r="D7" t="inlineStr">
        <is>
          <t>PENINGKATAN KUALITAS PELAYANAN PUBLIK</t>
        </is>
      </c>
      <c r="E7" t="n">
        <v>10</v>
      </c>
      <c r="F7" t="n">
        <v>9.151666666666667</v>
      </c>
      <c r="G7" t="n">
        <v>0.9151666666666667</v>
      </c>
    </row>
    <row r="8">
      <c r="A8" t="inlineStr">
        <is>
          <t>Kantah Kabupaten Gorontalo</t>
        </is>
      </c>
      <c r="B8" t="inlineStr">
        <is>
          <t>HASIL</t>
        </is>
      </c>
      <c r="C8" t="inlineStr">
        <is>
          <t>1</t>
        </is>
      </c>
      <c r="D8" t="inlineStr">
        <is>
          <t>BIROKRASI YANG BERSIH DAN AKUNTABEL</t>
        </is>
      </c>
      <c r="E8" t="n">
        <v>22.5</v>
      </c>
      <c r="F8" t="n">
        <v>19.890625</v>
      </c>
      <c r="G8" t="n">
        <v>0.8840277777777777</v>
      </c>
    </row>
    <row r="9">
      <c r="A9" t="inlineStr">
        <is>
          <t>Kantah Kabupaten Gorontalo</t>
        </is>
      </c>
      <c r="B9" t="inlineStr">
        <is>
          <t>HASIL</t>
        </is>
      </c>
      <c r="C9" t="inlineStr">
        <is>
          <t>2</t>
        </is>
      </c>
      <c r="D9" t="inlineStr">
        <is>
          <t>PELAYANAN PUBLIK YANG PRIMA</t>
        </is>
      </c>
      <c r="E9" t="n">
        <v>17.5</v>
      </c>
      <c r="F9" t="n">
        <v>17.4125</v>
      </c>
      <c r="G9" t="n">
        <v>0.9950000000000001</v>
      </c>
    </row>
    <row r="10">
      <c r="A10" t="inlineStr">
        <is>
          <t>Kanwil BPN Provinsi Gorontalo</t>
        </is>
      </c>
      <c r="B10" t="inlineStr">
        <is>
          <t>PENGUNGKIT</t>
        </is>
      </c>
      <c r="C10" t="inlineStr">
        <is>
          <t>1</t>
        </is>
      </c>
      <c r="D10" t="inlineStr">
        <is>
          <t>MANAJEMEN PERUBAHAN</t>
        </is>
      </c>
      <c r="E10" t="n">
        <v>8</v>
      </c>
      <c r="F10" t="n">
        <v>6.654999999999999</v>
      </c>
      <c r="G10" t="n">
        <v>0.8318749999999999</v>
      </c>
    </row>
    <row r="11">
      <c r="A11" t="inlineStr">
        <is>
          <t>Kanwil BPN Provinsi Gorontalo</t>
        </is>
      </c>
      <c r="B11" t="inlineStr">
        <is>
          <t>PENGUNGKIT</t>
        </is>
      </c>
      <c r="C11" t="inlineStr">
        <is>
          <t>2</t>
        </is>
      </c>
      <c r="D11" t="inlineStr">
        <is>
          <t>PENATAAN TATALAKSANA</t>
        </is>
      </c>
      <c r="E11" t="n">
        <v>7</v>
      </c>
      <c r="F11" t="n">
        <v>4.5</v>
      </c>
      <c r="G11" t="n">
        <v>0.6428571428571429</v>
      </c>
    </row>
    <row r="12">
      <c r="A12" t="inlineStr">
        <is>
          <t>Kanwil BPN Provinsi Gorontalo</t>
        </is>
      </c>
      <c r="B12" t="inlineStr">
        <is>
          <t>PENGUNGKIT</t>
        </is>
      </c>
      <c r="C12" t="inlineStr">
        <is>
          <t>3</t>
        </is>
      </c>
      <c r="D12" t="inlineStr">
        <is>
          <t>PENATAAN SISTEM MANAJEMEN SDM APARATUR</t>
        </is>
      </c>
      <c r="E12" t="n">
        <v>10</v>
      </c>
      <c r="F12" t="n">
        <v>9.085833333333333</v>
      </c>
      <c r="G12" t="n">
        <v>0.9085833333333333</v>
      </c>
    </row>
    <row r="13">
      <c r="A13" t="inlineStr">
        <is>
          <t>Kanwil BPN Provinsi Gorontalo</t>
        </is>
      </c>
      <c r="B13" t="inlineStr">
        <is>
          <t>PENGUNGKIT</t>
        </is>
      </c>
      <c r="C13" t="inlineStr">
        <is>
          <t>4</t>
        </is>
      </c>
      <c r="D13" t="inlineStr">
        <is>
          <t>PENGUATAN AKUNTABILITAS</t>
        </is>
      </c>
      <c r="E13" t="n">
        <v>10</v>
      </c>
      <c r="F13" t="n">
        <v>8.813333333333333</v>
      </c>
      <c r="G13" t="n">
        <v>0.8813333333333333</v>
      </c>
    </row>
    <row r="14">
      <c r="A14" t="inlineStr">
        <is>
          <t>Kanwil BPN Provinsi Gorontalo</t>
        </is>
      </c>
      <c r="B14" t="inlineStr">
        <is>
          <t>PENGUNGKIT</t>
        </is>
      </c>
      <c r="C14" t="inlineStr">
        <is>
          <t>5</t>
        </is>
      </c>
      <c r="D14" t="inlineStr">
        <is>
          <t>PENGUATAN PENGAWASAN</t>
        </is>
      </c>
      <c r="E14" t="n">
        <v>15</v>
      </c>
      <c r="F14" t="n">
        <v>15</v>
      </c>
      <c r="G14" t="n">
        <v>1</v>
      </c>
    </row>
    <row r="15">
      <c r="A15" t="inlineStr">
        <is>
          <t>Kanwil BPN Provinsi Gorontalo</t>
        </is>
      </c>
      <c r="B15" t="inlineStr">
        <is>
          <t>PENGUNGKIT</t>
        </is>
      </c>
      <c r="C15" t="inlineStr">
        <is>
          <t>6</t>
        </is>
      </c>
      <c r="D15" t="inlineStr">
        <is>
          <t>PENINGKATAN KUALITAS PELAYANAN PUBLIK</t>
        </is>
      </c>
      <c r="E15" t="n">
        <v>10</v>
      </c>
      <c r="F15" t="n">
        <v>9.9375</v>
      </c>
      <c r="G15" t="n">
        <v>0.99375</v>
      </c>
    </row>
    <row r="16">
      <c r="A16" t="inlineStr">
        <is>
          <t>Kanwil BPN Provinsi Gorontalo</t>
        </is>
      </c>
      <c r="B16" t="inlineStr">
        <is>
          <t>HASIL</t>
        </is>
      </c>
      <c r="C16" t="inlineStr">
        <is>
          <t>1</t>
        </is>
      </c>
      <c r="D16" t="inlineStr">
        <is>
          <t>BIROKRASI YANG BERSIH DAN AKUNTABEL</t>
        </is>
      </c>
      <c r="E16" t="n">
        <v>22.5</v>
      </c>
      <c r="F16" t="n">
        <v>22.325</v>
      </c>
      <c r="G16" t="n">
        <v>0.9922222222222222</v>
      </c>
    </row>
    <row r="17">
      <c r="A17" t="inlineStr">
        <is>
          <t>Kanwil BPN Provinsi Gorontalo</t>
        </is>
      </c>
      <c r="B17" t="inlineStr">
        <is>
          <t>HASIL</t>
        </is>
      </c>
      <c r="C17" t="inlineStr">
        <is>
          <t>2</t>
        </is>
      </c>
      <c r="D17" t="inlineStr">
        <is>
          <t>PELAYANAN PUBLIK YANG PRIMA</t>
        </is>
      </c>
      <c r="E17" t="n">
        <v>17.5</v>
      </c>
      <c r="F17" t="n">
        <v>17.325</v>
      </c>
      <c r="G17" t="n">
        <v>0.99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2026-09-16T08:44:22Z</dcterms:created>
  <dcterms:modified xmlns:dcterms="http://purl.org/dc/terms/" xmlns:xsi="http://www.w3.org/2001/XMLSchema-instance" xsi:type="dcterms:W3CDTF">2026-09-16T08:47:03Z</dcterms:modified>
</cp:coreProperties>
</file>